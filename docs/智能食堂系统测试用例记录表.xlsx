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/>
  <mc:AlternateContent xmlns:mc="http://schemas.openxmlformats.org/markup-compatibility/2006">
    <mc:Choice Requires="x15">
      <x15ac:absPath xmlns:x15ac="http://schemas.microsoft.com/office/spreadsheetml/2010/11/ac" url="/Users/zhongjiating/Projects/smart-canteen/docs/"/>
    </mc:Choice>
  </mc:AlternateContent>
  <xr:revisionPtr revIDLastSave="0" documentId="8_{2A731016-A15D-7441-8A96-6AEC4D8A9B32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看板" sheetId="1" r:id="rId1"/>
    <sheet name="总用例" sheetId="2" r:id="rId2"/>
    <sheet name="字典" sheetId="10" r:id="rId3"/>
    <sheet name="微服务测试" sheetId="11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H22" i="1"/>
  <c r="E22" i="1"/>
  <c r="C22" i="1"/>
  <c r="B22" i="1"/>
  <c r="H21" i="1"/>
  <c r="E21" i="1"/>
  <c r="C21" i="1"/>
  <c r="B21" i="1"/>
  <c r="H20" i="1"/>
  <c r="E20" i="1"/>
  <c r="C20" i="1"/>
  <c r="B20" i="1"/>
  <c r="H19" i="1"/>
  <c r="E19" i="1"/>
  <c r="C19" i="1"/>
  <c r="B19" i="1"/>
  <c r="H16" i="1"/>
  <c r="G16" i="1"/>
  <c r="F16" i="1"/>
  <c r="E16" i="1"/>
  <c r="H15" i="1"/>
  <c r="G15" i="1"/>
  <c r="F15" i="1"/>
  <c r="E15" i="1"/>
  <c r="B15" i="1"/>
  <c r="H14" i="1"/>
  <c r="G14" i="1"/>
  <c r="F14" i="1"/>
  <c r="E14" i="1"/>
  <c r="B14" i="1"/>
  <c r="H13" i="1"/>
  <c r="G13" i="1"/>
  <c r="F13" i="1"/>
  <c r="E13" i="1"/>
  <c r="B13" i="1"/>
  <c r="H12" i="1"/>
  <c r="G12" i="1"/>
  <c r="F12" i="1"/>
  <c r="E12" i="1"/>
  <c r="B12" i="1"/>
  <c r="H11" i="1"/>
  <c r="G11" i="1"/>
  <c r="F11" i="1"/>
  <c r="E11" i="1"/>
  <c r="B11" i="1"/>
  <c r="H7" i="1"/>
  <c r="F7" i="1"/>
  <c r="D7" i="1"/>
  <c r="B7" i="1"/>
  <c r="H4" i="1"/>
  <c r="F4" i="1"/>
  <c r="D4" i="1"/>
  <c r="B4" i="1"/>
</calcChain>
</file>

<file path=xl/sharedStrings.xml><?xml version="1.0" encoding="utf-8"?>
<sst xmlns="http://schemas.openxmlformats.org/spreadsheetml/2006/main" count="1094" uniqueCount="452">
  <si>
    <t>智能食堂系统测试看板</t>
  </si>
  <si>
    <t>来源：A智能食堂系统概要设计说明书；生成日期：2026-05-29；状态在“总用例”Sheet中维护。</t>
  </si>
  <si>
    <t>总用例数</t>
  </si>
  <si>
    <t>已执行</t>
  </si>
  <si>
    <t>通过</t>
  </si>
  <si>
    <t>失败</t>
  </si>
  <si>
    <t>阻塞</t>
  </si>
  <si>
    <t>未执行</t>
  </si>
  <si>
    <t>执行率</t>
  </si>
  <si>
    <t>通过率</t>
  </si>
  <si>
    <t>执行状态</t>
  </si>
  <si>
    <t>数量</t>
  </si>
  <si>
    <t>模块</t>
  </si>
  <si>
    <t>总数</t>
  </si>
  <si>
    <t>用户认证</t>
  </si>
  <si>
    <t>菜品菜单库存</t>
  </si>
  <si>
    <t>订单交易</t>
  </si>
  <si>
    <t>取餐排队大屏</t>
  </si>
  <si>
    <t>不适用</t>
  </si>
  <si>
    <t>网关安全</t>
  </si>
  <si>
    <t>部署基础组件</t>
  </si>
  <si>
    <t>优先级</t>
  </si>
  <si>
    <t>失败数</t>
  </si>
  <si>
    <t>缺陷状态</t>
  </si>
  <si>
    <t/>
  </si>
  <si>
    <t>严重级别</t>
  </si>
  <si>
    <t>P0</t>
  </si>
  <si>
    <t>新建</t>
  </si>
  <si>
    <t>致命</t>
  </si>
  <si>
    <t>P1</t>
  </si>
  <si>
    <t>处理中</t>
  </si>
  <si>
    <t>高</t>
  </si>
  <si>
    <t>P2</t>
  </si>
  <si>
    <t>已修复</t>
  </si>
  <si>
    <t>中</t>
  </si>
  <si>
    <t>P3</t>
  </si>
  <si>
    <t>已验证</t>
  </si>
  <si>
    <t>低</t>
  </si>
  <si>
    <t>关闭</t>
  </si>
  <si>
    <t>使用说明：测试时主要在“总用例”或对应模块 Sheet 中填写实际结果、执行状态、缺陷ID、测试人、执行日期。看板会根据“总用例”和“缺陷记录”自动统计。</t>
  </si>
  <si>
    <t>用例ID</t>
  </si>
  <si>
    <t>子模块/功能</t>
  </si>
  <si>
    <t>用例类型</t>
  </si>
  <si>
    <t>前置条件</t>
  </si>
  <si>
    <t>测试步骤</t>
  </si>
  <si>
    <t>测试数据</t>
  </si>
  <si>
    <t>预期结果</t>
  </si>
  <si>
    <t>实际结果</t>
  </si>
  <si>
    <t>缺陷ID</t>
  </si>
  <si>
    <t>测试人</t>
  </si>
  <si>
    <t>执行日期</t>
  </si>
  <si>
    <t>备注</t>
  </si>
  <si>
    <t>TC-001</t>
  </si>
  <si>
    <t>注册-手机号注册成功</t>
  </si>
  <si>
    <t>功能</t>
  </si>
  <si>
    <t>游客未登录</t>
  </si>
  <si>
    <t>1. 打开注册页
2. 输入手机号、密码、验证码
3. 提交注册</t>
  </si>
  <si>
    <t>手机号: 13800000001；验证码: 123456</t>
  </si>
  <si>
    <t>注册成功，生成普通用户账号，可跳转登录或自动登录</t>
  </si>
  <si>
    <t>TC-002</t>
  </si>
  <si>
    <t>注册-学工号注册成功</t>
  </si>
  <si>
    <t>输入学工号、密码、验证码并提交</t>
  </si>
  <si>
    <t>学工号: 20260001</t>
  </si>
  <si>
    <t>注册成功，账号状态正常</t>
  </si>
  <si>
    <t>TC-003</t>
  </si>
  <si>
    <t>注册-重复账号拦截</t>
  </si>
  <si>
    <t>异常</t>
  </si>
  <si>
    <t>账号已存在</t>
  </si>
  <si>
    <t>使用已注册手机号再次提交注册</t>
  </si>
  <si>
    <t>手机号: 已存在</t>
  </si>
  <si>
    <t>提示账号已存在，不创建重复用户</t>
  </si>
  <si>
    <t>TC-004</t>
  </si>
  <si>
    <t>登录-密码登录成功</t>
  </si>
  <si>
    <t>存在正常用户</t>
  </si>
  <si>
    <t>输入账号和正确密码登录</t>
  </si>
  <si>
    <t>账号/密码正确</t>
  </si>
  <si>
    <t>登录成功，返回 Access Token 和 Refresh Token</t>
  </si>
  <si>
    <t>TC-005</t>
  </si>
  <si>
    <t>登录-密码错误失败</t>
  </si>
  <si>
    <t>输入账号和错误密码登录</t>
  </si>
  <si>
    <t>错误密码</t>
  </si>
  <si>
    <t>登录失败，提示账号或密码错误，不返回 Token</t>
  </si>
  <si>
    <t>TC-006</t>
  </si>
  <si>
    <t>登录-验证码登录成功</t>
  </si>
  <si>
    <t>验证码有效</t>
  </si>
  <si>
    <t>输入手机号和验证码登录</t>
  </si>
  <si>
    <t>验证码: 123456</t>
  </si>
  <si>
    <t>登录成功并返回 Token</t>
  </si>
  <si>
    <t>TC-007</t>
  </si>
  <si>
    <t>Token刷新成功</t>
  </si>
  <si>
    <t>接口</t>
  </si>
  <si>
    <t>Refresh Token 未过期</t>
  </si>
  <si>
    <t>调用刷新 Token 接口</t>
  </si>
  <si>
    <t>有效 Refresh Token</t>
  </si>
  <si>
    <t>返回新的 Access Token</t>
  </si>
  <si>
    <t>TC-008</t>
  </si>
  <si>
    <t>注销后Token失效</t>
  </si>
  <si>
    <t>安全</t>
  </si>
  <si>
    <t>用户已登录</t>
  </si>
  <si>
    <t>1. 调用注销接口
2. 使用旧 Token 访问订单接口</t>
  </si>
  <si>
    <t>旧 Access Token</t>
  </si>
  <si>
    <t>网关拒绝旧 Token，请求返回未认证</t>
  </si>
  <si>
    <t>TC-009</t>
  </si>
  <si>
    <t>用户信息查询与修改</t>
  </si>
  <si>
    <t>查询个人信息，修改昵称或手机号后保存</t>
  </si>
  <si>
    <t>昵称: 测试用户</t>
  </si>
  <si>
    <t>保存成功，再次查询显示最新信息</t>
  </si>
  <si>
    <t>TC-010</t>
  </si>
  <si>
    <t>支付密码校验接口</t>
  </si>
  <si>
    <t>用户已设置支付密码</t>
  </si>
  <si>
    <t>订单服务通过 Feign 调用用户服务验证支付密码</t>
  </si>
  <si>
    <t>正确/错误支付密码</t>
  </si>
  <si>
    <t>正确时返回通过；错误时返回失败</t>
  </si>
  <si>
    <t>TC-011</t>
  </si>
  <si>
    <t>菜品新增成功</t>
  </si>
  <si>
    <t>商家已登录且有窗口归属</t>
  </si>
  <si>
    <t>填写菜品名称、分类、价格、图片并提交</t>
  </si>
  <si>
    <t>宫保鸡丁 12.00</t>
  </si>
  <si>
    <t>菜品创建成功，默认可配置上下架状态</t>
  </si>
  <si>
    <t>TC-012</t>
  </si>
  <si>
    <t>菜品编辑保留历史订单快照</t>
  </si>
  <si>
    <t>已有历史订单</t>
  </si>
  <si>
    <t>修改菜品名称或价格后查看历史订单</t>
  </si>
  <si>
    <t>菜品名修改</t>
  </si>
  <si>
    <t>历史订单仍显示下单时快照信息</t>
  </si>
  <si>
    <t>TC-013</t>
  </si>
  <si>
    <t>菜品下架后不可售</t>
  </si>
  <si>
    <t>菜品已存在</t>
  </si>
  <si>
    <t>商家下架菜品，用户端刷新菜单</t>
  </si>
  <si>
    <t>下架菜品</t>
  </si>
  <si>
    <t>用户端当前可售列表不展示该菜品</t>
  </si>
  <si>
    <t>TC-014</t>
  </si>
  <si>
    <t>每日菜单发布成功</t>
  </si>
  <si>
    <t>存在菜品和售卖时段</t>
  </si>
  <si>
    <t>为窗口配置每日菜单和菜单项库存设定值</t>
  </si>
  <si>
    <t>午餐菜单，库存50</t>
  </si>
  <si>
    <t>菜单发布成功，用户端在对应时段可见</t>
  </si>
  <si>
    <t>TC-015</t>
  </si>
  <si>
    <t>每日库存自动重置</t>
  </si>
  <si>
    <t>集成</t>
  </si>
  <si>
    <t>已配置每日菜单项库存设定值</t>
  </si>
  <si>
    <t>触发每日库存重置任务或模拟调用</t>
  </si>
  <si>
    <t>设定库存: 50</t>
  </si>
  <si>
    <t>当天剩余库存重置为设定数量</t>
  </si>
  <si>
    <t>TC-016</t>
  </si>
  <si>
    <t>库存预占成功</t>
  </si>
  <si>
    <t>菜单项库存充足</t>
  </si>
  <si>
    <t>订单服务调用库存预占接口</t>
  </si>
  <si>
    <t>购买数量 2，库存 10</t>
  </si>
  <si>
    <t>预占成功，库存减少 2</t>
  </si>
  <si>
    <t>TC-017</t>
  </si>
  <si>
    <t>库存不足下单失败</t>
  </si>
  <si>
    <t>菜单项库存不足</t>
  </si>
  <si>
    <t>用户提交超过库存数量的订单</t>
  </si>
  <si>
    <t>购买数量 20，库存 1</t>
  </si>
  <si>
    <t>下单失败，提示库存不足，订单不创建或事务回滚</t>
  </si>
  <si>
    <t>TC-018</t>
  </si>
  <si>
    <t>取消订单恢复库存</t>
  </si>
  <si>
    <t>订单已预占库存且可取消</t>
  </si>
  <si>
    <t>用户取消待支付或超时订单</t>
  </si>
  <si>
    <t>订单明细数量 2</t>
  </si>
  <si>
    <t>库存恢复 2，库存日志记录恢复原因</t>
  </si>
  <si>
    <t>TC-019</t>
  </si>
  <si>
    <t>低库存预警</t>
  </si>
  <si>
    <t>库存低于阈值</t>
  </si>
  <si>
    <t>商家查看库存列表或触发预警任务</t>
  </si>
  <si>
    <t>阈值 5，库存 3</t>
  </si>
  <si>
    <t>系统标记低库存或显示预警</t>
  </si>
  <si>
    <t>TC-020</t>
  </si>
  <si>
    <t>菜品图片上传限制</t>
  </si>
  <si>
    <t>商家已登录</t>
  </si>
  <si>
    <t>上传超过限制或非法格式图片</t>
  </si>
  <si>
    <t>图片 &gt; 5MB</t>
  </si>
  <si>
    <t>上传失败并提示限制，不写入异常数据</t>
  </si>
  <si>
    <t>TC-021</t>
  </si>
  <si>
    <t>创建待支付订单成功</t>
  </si>
  <si>
    <t>用户已登录，库存充足</t>
  </si>
  <si>
    <t>选择菜品加入购物车并提交订单</t>
  </si>
  <si>
    <t>2份套餐</t>
  </si>
  <si>
    <t>订单创建为待支付状态，生成订单明细，库存预占成功</t>
  </si>
  <si>
    <t>TC-022</t>
  </si>
  <si>
    <t>创建订单分布式事务回滚</t>
  </si>
  <si>
    <t>模拟库存服务失败</t>
  </si>
  <si>
    <t>提交订单时让库存预占失败</t>
  </si>
  <si>
    <t>库存服务异常</t>
  </si>
  <si>
    <t>订单不落库或状态回滚，库存不减少</t>
  </si>
  <si>
    <t>TC-023</t>
  </si>
  <si>
    <t>模拟支付成功</t>
  </si>
  <si>
    <t>订单为待支付</t>
  </si>
  <si>
    <t>输入正确支付密码并确认支付</t>
  </si>
  <si>
    <t>支付密码正确</t>
  </si>
  <si>
    <t>订单状态变为待接单</t>
  </si>
  <si>
    <t>TC-024</t>
  </si>
  <si>
    <t>模拟支付失败</t>
  </si>
  <si>
    <t>输入错误支付密码支付</t>
  </si>
  <si>
    <t>支付密码错误</t>
  </si>
  <si>
    <t>支付失败，订单仍为待支付</t>
  </si>
  <si>
    <t>TC-025</t>
  </si>
  <si>
    <t>待支付超时自动取消</t>
  </si>
  <si>
    <t>订单待支付超过配置时间</t>
  </si>
  <si>
    <t>触发 RocketMQ 延迟消息消费</t>
  </si>
  <si>
    <t>待支付10分钟</t>
  </si>
  <si>
    <t>订单自动取消，库存恢复</t>
  </si>
  <si>
    <t>TC-026</t>
  </si>
  <si>
    <t>用户主动取消待支付订单</t>
  </si>
  <si>
    <t>订单待支付</t>
  </si>
  <si>
    <t>点击取消订单</t>
  </si>
  <si>
    <t>取消原因: 不想买了</t>
  </si>
  <si>
    <t>订单取消，库存恢复</t>
  </si>
  <si>
    <t>TC-027</t>
  </si>
  <si>
    <t>用户查询订单列表</t>
  </si>
  <si>
    <t>用户有多个订单</t>
  </si>
  <si>
    <t>按状态筛选订单列表</t>
  </si>
  <si>
    <t>状态: 待接单</t>
  </si>
  <si>
    <t>只返回本人符合条件的订单</t>
  </si>
  <si>
    <t>TC-028</t>
  </si>
  <si>
    <t>商家接单成功</t>
  </si>
  <si>
    <t>订单已支付待接单</t>
  </si>
  <si>
    <t>商家点击接单</t>
  </si>
  <si>
    <t>待接单订单</t>
  </si>
  <si>
    <t>订单状态变为制作中，并进入制作中队列，生成取餐号</t>
  </si>
  <si>
    <t>TC-029</t>
  </si>
  <si>
    <t>商家拒绝接单</t>
  </si>
  <si>
    <t>订单待接单</t>
  </si>
  <si>
    <t>商家点击不接单并填写原因</t>
  </si>
  <si>
    <t>原因: 售罄</t>
  </si>
  <si>
    <t>订单取消或进入拒单状态，库存恢复，用户端可查看原因</t>
  </si>
  <si>
    <t>TC-030</t>
  </si>
  <si>
    <t>商家接单超时自动取消</t>
  </si>
  <si>
    <t>订单待接单超过配置时间</t>
  </si>
  <si>
    <t>触发接单超时延迟消息</t>
  </si>
  <si>
    <t>待接单10分钟</t>
  </si>
  <si>
    <t>TC-031</t>
  </si>
  <si>
    <t>商家出餐成功</t>
  </si>
  <si>
    <t>订单制作中</t>
  </si>
  <si>
    <t>商家点击出餐</t>
  </si>
  <si>
    <t>制作中订单</t>
  </si>
  <si>
    <t>订单变为待取餐，生成取餐二维码并自动叫号</t>
  </si>
  <si>
    <t>TC-032</t>
  </si>
  <si>
    <t>订单状态非法流转拦截</t>
  </si>
  <si>
    <t>订单已完成或已取消</t>
  </si>
  <si>
    <t>对完成订单再次接单/出餐/取消</t>
  </si>
  <si>
    <t>已完成订单</t>
  </si>
  <si>
    <t>接口拒绝操作，订单状态不改变</t>
  </si>
  <si>
    <t>TC-033</t>
  </si>
  <si>
    <t>重复提交订单防重</t>
  </si>
  <si>
    <t>用户快速点击提交</t>
  </si>
  <si>
    <t>连续多次提交同一购物车</t>
  </si>
  <si>
    <t>相同请求</t>
  </si>
  <si>
    <t>系统避免重复创建订单或给出重复提交提示</t>
  </si>
  <si>
    <t>TC-034</t>
  </si>
  <si>
    <t>取餐号按规则生成</t>
  </si>
  <si>
    <t>商家接单</t>
  </si>
  <si>
    <t>连续接单多个订单</t>
  </si>
  <si>
    <t>A001,A002...</t>
  </si>
  <si>
    <t>取餐号按 A001→A999→B001 递增，同周期不重复</t>
  </si>
  <si>
    <t>TC-035</t>
  </si>
  <si>
    <t>取餐号重置规则生效</t>
  </si>
  <si>
    <t>管理员配置重置周期</t>
  </si>
  <si>
    <t>模拟进入新周期后接单</t>
  </si>
  <si>
    <t>重置规则: 每日</t>
  </si>
  <si>
    <t>新周期取餐号从配置起点重新生成</t>
  </si>
  <si>
    <t>TC-036</t>
  </si>
  <si>
    <t>接单自动进入制作中队列</t>
  </si>
  <si>
    <t>订单ID</t>
  </si>
  <si>
    <t>制作中队列新增该订单，大屏队列刷新</t>
  </si>
  <si>
    <t>TC-037</t>
  </si>
  <si>
    <t>出餐移入待取餐队列</t>
  </si>
  <si>
    <t>商家出餐</t>
  </si>
  <si>
    <t>制作中队列移除，待取餐队列新增</t>
  </si>
  <si>
    <t>TC-038</t>
  </si>
  <si>
    <t>出餐自动叫号</t>
  </si>
  <si>
    <t>订单出餐</t>
  </si>
  <si>
    <t>取餐号 A001</t>
  </si>
  <si>
    <t>生成叫号事件，大屏显示醒目叫号</t>
  </si>
  <si>
    <t>TC-039</t>
  </si>
  <si>
    <t>手动叫号</t>
  </si>
  <si>
    <t>订单待取餐</t>
  </si>
  <si>
    <t>商家点击手动叫号</t>
  </si>
  <si>
    <t>生成手动叫号事件，大屏重复提示</t>
  </si>
  <si>
    <t>TC-040</t>
  </si>
  <si>
    <t>扫码核销成功</t>
  </si>
  <si>
    <t>订单待取餐且二维码有效</t>
  </si>
  <si>
    <t>商家扫码用户二维码</t>
  </si>
  <si>
    <t>有效二维码</t>
  </si>
  <si>
    <t>核销成功，订单完成，待取餐队列移除</t>
  </si>
  <si>
    <t>TC-041</t>
  </si>
  <si>
    <t>手动取餐码核销成功</t>
  </si>
  <si>
    <t>订单待取餐且取餐码有效</t>
  </si>
  <si>
    <t>商家输入取餐码核销</t>
  </si>
  <si>
    <t>有效取餐码</t>
  </si>
  <si>
    <t>核销成功，订单完成</t>
  </si>
  <si>
    <t>TC-042</t>
  </si>
  <si>
    <t>二维码重复核销失败</t>
  </si>
  <si>
    <t>订单已核销</t>
  </si>
  <si>
    <t>再次扫码同一二维码</t>
  </si>
  <si>
    <t>已失效二维码</t>
  </si>
  <si>
    <t>核销失败，提示凭证已失效</t>
  </si>
  <si>
    <t>TC-043</t>
  </si>
  <si>
    <t>待取餐队列FIFO展示</t>
  </si>
  <si>
    <t>多个订单待取餐</t>
  </si>
  <si>
    <t>按出餐顺序查看队列</t>
  </si>
  <si>
    <t>多个订单</t>
  </si>
  <si>
    <t>队列按进入待取餐时间展示，用户排队位置正确</t>
  </si>
  <si>
    <t>TC-044</t>
  </si>
  <si>
    <t>Redis队列缓存恢复</t>
  </si>
  <si>
    <t>可靠性</t>
  </si>
  <si>
    <t>数据库中有队列记录</t>
  </si>
  <si>
    <t>清空或模拟 Redis 队列异常后恢复</t>
  </si>
  <si>
    <t>队列数据</t>
  </si>
  <si>
    <t>系统可基于数据库恢复队列快照</t>
  </si>
  <si>
    <t>TC-045</t>
  </si>
  <si>
    <t>大屏WebSocket断线重连</t>
  </si>
  <si>
    <t>大屏已连接</t>
  </si>
  <si>
    <t>断开网络后恢复连接</t>
  </si>
  <si>
    <t>WebSocket</t>
  </si>
  <si>
    <t>大屏重连后通过HTTP拉取最新队列并继续接收推送</t>
  </si>
  <si>
    <t>TC-046</t>
  </si>
  <si>
    <t>用户端HTTP轮询取餐提醒</t>
  </si>
  <si>
    <t>用户订单待取餐</t>
  </si>
  <si>
    <t>用户端每5秒轮询订单详情</t>
  </si>
  <si>
    <t>READY状态</t>
  </si>
  <si>
    <t>轮询到待取餐后显示取餐提醒和二维码</t>
  </si>
  <si>
    <t>TC-047</t>
  </si>
  <si>
    <t>公开接口无需Token</t>
  </si>
  <si>
    <t>游客访问</t>
  </si>
  <si>
    <t>调用注册、登录、菜单浏览接口</t>
  </si>
  <si>
    <t>无Token</t>
  </si>
  <si>
    <t>接口可访问，返回正常结果</t>
  </si>
  <si>
    <t>TC-048</t>
  </si>
  <si>
    <t>受保护接口无Token拦截</t>
  </si>
  <si>
    <t>调用下单或用户信息接口</t>
  </si>
  <si>
    <t>网关返回未认证，不转发业务服务</t>
  </si>
  <si>
    <t>TC-049</t>
  </si>
  <si>
    <t>角色权限拦截</t>
  </si>
  <si>
    <t>普通用户已登录</t>
  </si>
  <si>
    <t>访问商家菜品管理接口</t>
  </si>
  <si>
    <t>普通用户Token</t>
  </si>
  <si>
    <t>返回无权限</t>
  </si>
  <si>
    <t>TC-050</t>
  </si>
  <si>
    <t>商家数据归属校验</t>
  </si>
  <si>
    <t>商家A登录</t>
  </si>
  <si>
    <t>处理商家B窗口订单</t>
  </si>
  <si>
    <t>跨窗口订单ID</t>
  </si>
  <si>
    <t>接口拒绝越权操作</t>
  </si>
  <si>
    <t>TC-051</t>
  </si>
  <si>
    <t>管理员后台权限</t>
  </si>
  <si>
    <t>管理员登录</t>
  </si>
  <si>
    <t>访问用户、商家、配置维护功能</t>
  </si>
  <si>
    <t>管理员Token</t>
  </si>
  <si>
    <t>允许访问并记录操作日志</t>
  </si>
  <si>
    <t>TC-052</t>
  </si>
  <si>
    <t>IP级限流</t>
  </si>
  <si>
    <t>配置限流规则</t>
  </si>
  <si>
    <t>同一IP高频请求登录接口</t>
  </si>
  <si>
    <t>大量请求</t>
  </si>
  <si>
    <t>超过阈值后返回限流提示</t>
  </si>
  <si>
    <t>TC-053</t>
  </si>
  <si>
    <t>用户级限流</t>
  </si>
  <si>
    <t>短时间内高频提交订单或查询</t>
  </si>
  <si>
    <t>用户ID</t>
  </si>
  <si>
    <t>超过阈值后触发限流</t>
  </si>
  <si>
    <t>TC-054</t>
  </si>
  <si>
    <t>WebSocket连接代理</t>
  </si>
  <si>
    <t>大屏端访问</t>
  </si>
  <si>
    <t>通过网关建立 WebSocket 连接</t>
  </si>
  <si>
    <t>大屏路径</t>
  </si>
  <si>
    <t>连接成功，内部服务不直接暴露</t>
  </si>
  <si>
    <t>TC-055</t>
  </si>
  <si>
    <t>网关路由到正确服务</t>
  </si>
  <si>
    <t>各服务已注册到Nacos</t>
  </si>
  <si>
    <t>分别调用用户、菜单、订单、取餐路径</t>
  </si>
  <si>
    <t>不同API路径</t>
  </si>
  <si>
    <t>网关按路由规则转发到对应服务</t>
  </si>
  <si>
    <t>TC-056</t>
  </si>
  <si>
    <t>Nacos服务注册</t>
  </si>
  <si>
    <t>部署</t>
  </si>
  <si>
    <t>各微服务启动</t>
  </si>
  <si>
    <t>查看Nacos服务列表</t>
  </si>
  <si>
    <t>gateway/user/menu/order/pickup</t>
  </si>
  <si>
    <t>各服务实例注册成功且健康</t>
  </si>
  <si>
    <t>TC-057</t>
  </si>
  <si>
    <t>Nacos配置加载</t>
  </si>
  <si>
    <t>配置中心有配置</t>
  </si>
  <si>
    <t>启动服务并读取配置</t>
  </si>
  <si>
    <t>JWT/限流/超时配置</t>
  </si>
  <si>
    <t>服务成功加载配置</t>
  </si>
  <si>
    <t>TC-058</t>
  </si>
  <si>
    <t>Redis验证码缓存</t>
  </si>
  <si>
    <t>Redis可用</t>
  </si>
  <si>
    <t>获取验证码并查询校验</t>
  </si>
  <si>
    <t>手机号</t>
  </si>
  <si>
    <t>验证码按有效期存储和过期</t>
  </si>
  <si>
    <t>TC-059</t>
  </si>
  <si>
    <t>Redis限流计数</t>
  </si>
  <si>
    <t>触发网关限流计数</t>
  </si>
  <si>
    <t>接口路径+IP</t>
  </si>
  <si>
    <t>Redis中计数正确，过期时间合理</t>
  </si>
  <si>
    <t>TC-060</t>
  </si>
  <si>
    <t>RocketMQ延迟消息消费</t>
  </si>
  <si>
    <t>RocketMQ可用</t>
  </si>
  <si>
    <t>创建待支付订单等待延迟消息</t>
  </si>
  <si>
    <t>延迟消息被订单服务消费并执行超时处理</t>
  </si>
  <si>
    <t>TC-061</t>
  </si>
  <si>
    <t>Seata AT事务提交</t>
  </si>
  <si>
    <t>Seata Server可用</t>
  </si>
  <si>
    <t>创建订单并预占库存成功</t>
  </si>
  <si>
    <t>订单+库存</t>
  </si>
  <si>
    <t>全局事务提交，订单和库存一致</t>
  </si>
  <si>
    <t>TC-062</t>
  </si>
  <si>
    <t>Seata AT事务回滚</t>
  </si>
  <si>
    <t>模拟库存或订单异常</t>
  </si>
  <si>
    <t>创建订单过程中抛异常</t>
  </si>
  <si>
    <t>异常场景</t>
  </si>
  <si>
    <t>全局事务回滚，订单与库存不出现半成功</t>
  </si>
  <si>
    <t>TC-063</t>
  </si>
  <si>
    <t>MySQL持久化数据</t>
  </si>
  <si>
    <t>数据库可用</t>
  </si>
  <si>
    <t>重启服务后查询用户、订单、队列数据</t>
  </si>
  <si>
    <t>历史数据</t>
  </si>
  <si>
    <t>核心数据仍存在</t>
  </si>
  <si>
    <t>TC-064</t>
  </si>
  <si>
    <t>K3S服务健康检查</t>
  </si>
  <si>
    <t>服务部署到K3S</t>
  </si>
  <si>
    <t>查看Pod状态和健康探针</t>
  </si>
  <si>
    <t>kubectl get pods</t>
  </si>
  <si>
    <t>Pod Running，异常实例可被重启</t>
  </si>
  <si>
    <t>TC-065</t>
  </si>
  <si>
    <t>前端访问网关API</t>
  </si>
  <si>
    <t>前端已部署，网关可访问</t>
  </si>
  <si>
    <t>用户端、商家端、管理端、大屏端分别访问</t>
  </si>
  <si>
    <t>四个前端工程</t>
  </si>
  <si>
    <t>页面可加载并调用网关API</t>
  </si>
  <si>
    <t>性能</t>
  </si>
  <si>
    <t>兼容</t>
  </si>
  <si>
    <t>模块名称</t>
  </si>
  <si>
    <t>测试用例数</t>
  </si>
  <si>
    <t>指令覆盖率 (Instructions)</t>
  </si>
  <si>
    <t>分支覆盖率 (Branches)</t>
  </si>
  <si>
    <t>核心覆盖类 / 新增覆盖点</t>
  </si>
  <si>
    <t>gateway-service</t>
  </si>
  <si>
    <t>AuthGlobalFilter (92%), RedisTokenBucketRateLimiter (100%)</t>
  </si>
  <si>
    <t>order-service</t>
  </si>
  <si>
    <t>OrderCreateServiceImpl (77%), RedisOrderIdempotencyService (100%)</t>
  </si>
  <si>
    <t>user-service</t>
  </si>
  <si>
    <t>UserController (54%), AdminUserController (54%)</t>
  </si>
  <si>
    <t>smart-canteen-common</t>
  </si>
  <si>
    <t>JwtUtil (76%), SnowflakeIdUtil (76%)</t>
  </si>
  <si>
    <t>pickup-service</t>
  </si>
  <si>
    <t>PickupQueueServiceImpl (42%), AdminPickupConfigController (50%)</t>
  </si>
  <si>
    <t>menu-service</t>
  </si>
  <si>
    <t>MenuBrowseController (4%), AdminMerchantServiceImpl (34%)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</si>
</sst>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80" formatCode="yyyy\-mm\-dd"/>
    <numFmt numFmtId="181" formatCode="0.0%"/>
  </numFmts>
  <fonts count="8">
    <font>
      <sz val="11"/>
      <name val="Carlito"/>
      <charset val="134"/>
    </font>
    <font>
      <b/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sz val="11"/>
      <color rgb="FF333333"/>
      <name val="Carlito"/>
    </font>
    <font>
      <b/>
      <sz val="14"/>
      <name val="Carlito"/>
    </font>
    <font>
      <sz val="11"/>
      <name val="Carlito"/>
    </font>
    <font>
      <sz val="9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23">
    <xf numFmtId="0" fontId="0" fillId="0" borderId="0" xfId="0" applyAlignme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2" borderId="0" xfId="1" applyFont="1" applyFill="1" applyAlignment="1">
      <alignment horizontal="center" vertical="top"/>
    </xf>
    <xf numFmtId="0" fontId="6" fillId="0" borderId="0" xfId="1" applyAlignment="1">
      <alignment vertical="top"/>
    </xf>
    <xf numFmtId="0" fontId="6" fillId="0" borderId="0" xfId="1" applyAlignment="1">
      <alignment wrapText="1"/>
    </xf>
    <xf numFmtId="180" fontId="6" fillId="0" borderId="0" xfId="1" applyNumberFormat="1" applyAlignment="1">
      <alignment wrapText="1"/>
    </xf>
    <xf numFmtId="180" fontId="6" fillId="0" borderId="0" xfId="1" applyNumberFormat="1"/>
    <xf numFmtId="0" fontId="1" fillId="4" borderId="0" xfId="1" applyFont="1" applyFill="1" applyAlignment="1">
      <alignment horizontal="center"/>
    </xf>
    <xf numFmtId="0" fontId="5" fillId="5" borderId="0" xfId="1" applyFont="1" applyFill="1" applyAlignment="1">
      <alignment horizontal="center"/>
    </xf>
    <xf numFmtId="181" fontId="5" fillId="5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181" fontId="2" fillId="2" borderId="0" xfId="1" applyNumberFormat="1" applyFont="1" applyFill="1" applyAlignment="1">
      <alignment horizontal="center"/>
    </xf>
    <xf numFmtId="181" fontId="6" fillId="0" borderId="0" xfId="1" applyNumberFormat="1"/>
    <xf numFmtId="0" fontId="3" fillId="2" borderId="0" xfId="1" applyFont="1" applyFill="1" applyAlignment="1">
      <alignment horizontal="center" vertical="top"/>
    </xf>
    <xf numFmtId="0" fontId="6" fillId="0" borderId="0" xfId="1" applyAlignment="1">
      <alignment vertical="top"/>
    </xf>
    <xf numFmtId="0" fontId="4" fillId="3" borderId="0" xfId="1" applyFont="1" applyFill="1" applyAlignment="1">
      <alignment horizontal="left"/>
    </xf>
    <xf numFmtId="0" fontId="0" fillId="0" borderId="0" xfId="0" applyAlignment="1"/>
    <xf numFmtId="0" fontId="6" fillId="6" borderId="0" xfId="1" applyFill="1" applyAlignment="1">
      <alignment vertical="center" wrapText="1"/>
    </xf>
  </cellXfs>
  <cellStyles count="2">
    <cellStyle name="Normal" xfId="1" xr:uid="{00000000-0005-0000-0000-000031000000}"/>
    <cellStyle name="常规" xfId="0" builtinId="0"/>
  </cellStyles>
  <dxfs count="21">
    <dxf>
      <font>
        <color rgb="FF7F6000"/>
      </font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4CC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执行状态分布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B39-9242-BE65-BA7DEFE3278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4B39-9242-BE65-BA7DEFE3278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4B39-9242-BE65-BA7DEFE3278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4B39-9242-BE65-BA7DEFE3278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4B39-9242-BE65-BA7DEFE3278D}"/>
              </c:ext>
            </c:extLst>
          </c:dPt>
          <c:cat>
            <c:strRef>
              <c:f>看板!$A$11:$A$15</c:f>
              <c:strCache>
                <c:ptCount val="5"/>
                <c:pt idx="0">
                  <c:v>未执行</c:v>
                </c:pt>
                <c:pt idx="1">
                  <c:v>通过</c:v>
                </c:pt>
                <c:pt idx="2">
                  <c:v>失败</c:v>
                </c:pt>
                <c:pt idx="3">
                  <c:v>阻塞</c:v>
                </c:pt>
                <c:pt idx="4">
                  <c:v>不适用</c:v>
                </c:pt>
              </c:strCache>
            </c:strRef>
          </c:cat>
          <c:val>
            <c:numRef>
              <c:f>看板!$B$11:$B$15</c:f>
              <c:numCache>
                <c:formatCode>General</c:formatCode>
                <c:ptCount val="5"/>
                <c:pt idx="0" formatCode="0.0%">
                  <c:v>0</c:v>
                </c:pt>
                <c:pt idx="1">
                  <c:v>65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39-9242-BE65-BA7DEFE32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d3f2fa-07fb-469a-a4af-fe68ef19cc67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模块测试进度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看板!$D$11:$D$16</c:f>
              <c:strCache>
                <c:ptCount val="6"/>
                <c:pt idx="0">
                  <c:v>用户认证</c:v>
                </c:pt>
                <c:pt idx="1">
                  <c:v>菜品菜单库存</c:v>
                </c:pt>
                <c:pt idx="2">
                  <c:v>订单交易</c:v>
                </c:pt>
                <c:pt idx="3">
                  <c:v>取餐排队大屏</c:v>
                </c:pt>
                <c:pt idx="4">
                  <c:v>网关安全</c:v>
                </c:pt>
                <c:pt idx="5">
                  <c:v>部署基础组件</c:v>
                </c:pt>
              </c:strCache>
            </c:strRef>
          </c:cat>
          <c:val>
            <c:numRef>
              <c:f>看板!$E$11:$E$16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13</c:v>
                </c:pt>
                <c:pt idx="3">
                  <c:v>13</c:v>
                </c:pt>
                <c:pt idx="4">
                  <c:v>9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3-604F-9485-9B7216E61002}"/>
            </c:ext>
          </c:extLst>
        </c:ser>
        <c:ser>
          <c:idx val="1"/>
          <c:order val="1"/>
          <c:invertIfNegative val="0"/>
          <c:cat>
            <c:strRef>
              <c:f>看板!$D$11:$D$16</c:f>
              <c:strCache>
                <c:ptCount val="6"/>
                <c:pt idx="0">
                  <c:v>用户认证</c:v>
                </c:pt>
                <c:pt idx="1">
                  <c:v>菜品菜单库存</c:v>
                </c:pt>
                <c:pt idx="2">
                  <c:v>订单交易</c:v>
                </c:pt>
                <c:pt idx="3">
                  <c:v>取餐排队大屏</c:v>
                </c:pt>
                <c:pt idx="4">
                  <c:v>网关安全</c:v>
                </c:pt>
                <c:pt idx="5">
                  <c:v>部署基础组件</c:v>
                </c:pt>
              </c:strCache>
            </c:strRef>
          </c:cat>
          <c:val>
            <c:numRef>
              <c:f>看板!$F$11:$F$16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13</c:v>
                </c:pt>
                <c:pt idx="3">
                  <c:v>13</c:v>
                </c:pt>
                <c:pt idx="4">
                  <c:v>9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A3-604F-9485-9B7216E61002}"/>
            </c:ext>
          </c:extLst>
        </c:ser>
        <c:ser>
          <c:idx val="2"/>
          <c:order val="2"/>
          <c:invertIfNegative val="0"/>
          <c:cat>
            <c:strRef>
              <c:f>看板!$D$11:$D$16</c:f>
              <c:strCache>
                <c:ptCount val="6"/>
                <c:pt idx="0">
                  <c:v>用户认证</c:v>
                </c:pt>
                <c:pt idx="1">
                  <c:v>菜品菜单库存</c:v>
                </c:pt>
                <c:pt idx="2">
                  <c:v>订单交易</c:v>
                </c:pt>
                <c:pt idx="3">
                  <c:v>取餐排队大屏</c:v>
                </c:pt>
                <c:pt idx="4">
                  <c:v>网关安全</c:v>
                </c:pt>
                <c:pt idx="5">
                  <c:v>部署基础组件</c:v>
                </c:pt>
              </c:strCache>
            </c:strRef>
          </c:cat>
          <c:val>
            <c:numRef>
              <c:f>看板!$G$11:$G$16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A3-604F-9485-9B7216E61002}"/>
            </c:ext>
          </c:extLst>
        </c:ser>
        <c:ser>
          <c:idx val="3"/>
          <c:order val="3"/>
          <c:invertIfNegative val="0"/>
          <c:cat>
            <c:strRef>
              <c:f>看板!$D$11:$D$16</c:f>
              <c:strCache>
                <c:ptCount val="6"/>
                <c:pt idx="0">
                  <c:v>用户认证</c:v>
                </c:pt>
                <c:pt idx="1">
                  <c:v>菜品菜单库存</c:v>
                </c:pt>
                <c:pt idx="2">
                  <c:v>订单交易</c:v>
                </c:pt>
                <c:pt idx="3">
                  <c:v>取餐排队大屏</c:v>
                </c:pt>
                <c:pt idx="4">
                  <c:v>网关安全</c:v>
                </c:pt>
                <c:pt idx="5">
                  <c:v>部署基础组件</c:v>
                </c:pt>
              </c:strCache>
            </c:strRef>
          </c:cat>
          <c:val>
            <c:numRef>
              <c:f>看板!$H$11:$H$16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A3-604F-9485-9B7216E61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9a4917-94a5-43c3-b4dd-be8a0ddf62e3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4</xdr:col>
      <xdr:colOff>1388110</xdr:colOff>
      <xdr:row>29</xdr:row>
      <xdr:rowOff>129540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7235"/>
          <a:ext cx="8191500" cy="4610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StatusSummaryTable" displayName="StatusSummaryTable" ref="A10:B15">
  <tableColumns count="2">
    <tableColumn id="1" xr3:uid="{00000000-0010-0000-0000-000001000000}" name="执行状态"/>
    <tableColumn id="2" xr3:uid="{00000000-0010-0000-0000-000002000000}" name="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ModuleSummaryTable" displayName="ModuleSummaryTable" ref="D10:H16">
  <tableColumns count="5">
    <tableColumn id="1" xr3:uid="{00000000-0010-0000-0100-000001000000}" name="模块"/>
    <tableColumn id="2" xr3:uid="{00000000-0010-0000-0100-000002000000}" name="总数"/>
    <tableColumn id="3" xr3:uid="{00000000-0010-0000-0100-000003000000}" name="通过"/>
    <tableColumn id="4" xr3:uid="{00000000-0010-0000-0100-000004000000}" name="失败"/>
    <tableColumn id="5" xr3:uid="{00000000-0010-0000-0100-000005000000}" name="未执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PrioritySummaryTable" displayName="PrioritySummaryTable" ref="A18:C22">
  <tableColumns count="3">
    <tableColumn id="1" xr3:uid="{00000000-0010-0000-0200-000001000000}" name="优先级"/>
    <tableColumn id="2" xr3:uid="{00000000-0010-0000-0200-000002000000}" name="总数"/>
    <tableColumn id="3" xr3:uid="{00000000-0010-0000-0200-000003000000}" name="失败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AllCasesTable" displayName="AllCasesTable" ref="A1:O66">
  <tableColumns count="15">
    <tableColumn id="1" xr3:uid="{00000000-0010-0000-0300-000001000000}" name="用例ID"/>
    <tableColumn id="2" xr3:uid="{00000000-0010-0000-0300-000002000000}" name="模块"/>
    <tableColumn id="3" xr3:uid="{00000000-0010-0000-0300-000003000000}" name="子模块/功能"/>
    <tableColumn id="4" xr3:uid="{00000000-0010-0000-0300-000004000000}" name="优先级"/>
    <tableColumn id="5" xr3:uid="{00000000-0010-0000-0300-000005000000}" name="用例类型"/>
    <tableColumn id="6" xr3:uid="{00000000-0010-0000-0300-000006000000}" name="前置条件"/>
    <tableColumn id="7" xr3:uid="{00000000-0010-0000-0300-000007000000}" name="测试步骤"/>
    <tableColumn id="8" xr3:uid="{00000000-0010-0000-0300-000008000000}" name="测试数据"/>
    <tableColumn id="9" xr3:uid="{00000000-0010-0000-0300-000009000000}" name="预期结果"/>
    <tableColumn id="10" xr3:uid="{00000000-0010-0000-0300-00000A000000}" name="实际结果"/>
    <tableColumn id="11" xr3:uid="{00000000-0010-0000-0300-00000B000000}" name="执行状态"/>
    <tableColumn id="12" xr3:uid="{00000000-0010-0000-0300-00000C000000}" name="缺陷ID"/>
    <tableColumn id="13" xr3:uid="{00000000-0010-0000-0300-00000D000000}" name="测试人"/>
    <tableColumn id="14" xr3:uid="{00000000-0010-0000-0300-00000E000000}" name="执行日期"/>
    <tableColumn id="15" xr3:uid="{00000000-0010-0000-0300-00000F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file:///E:/Projects/smart-canteen/backend/user-service/target/site/jacoco/index.html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file:///E:/Projects/smart-canteen/backend/order-service/target/site/jacoco/index.html" TargetMode="External"/><Relationship Id="rId1" Type="http://schemas.openxmlformats.org/officeDocument/2006/relationships/hyperlink" Target="file:///E:/Projects/smart-canteen/backend/gateway-service/target/site/jacoco/index.html" TargetMode="External"/><Relationship Id="rId6" Type="http://schemas.openxmlformats.org/officeDocument/2006/relationships/hyperlink" Target="file:///E:/Projects/smart-canteen/backend/menu-service/target/site/jacoco/index.html" TargetMode="External"/><Relationship Id="rId5" Type="http://schemas.openxmlformats.org/officeDocument/2006/relationships/hyperlink" Target="file:///E:/Projects/smart-canteen/backend/pickup-service/target/site/jacoco/index.html" TargetMode="External"/><Relationship Id="rId4" Type="http://schemas.openxmlformats.org/officeDocument/2006/relationships/hyperlink" Target="file:///E:/Projects/smart-canteen/backend/smart-canteen-common/target/site/jacoc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A3" workbookViewId="0">
      <selection activeCell="A25" sqref="A25:H26"/>
    </sheetView>
  </sheetViews>
  <sheetFormatPr baseColWidth="10" defaultColWidth="9" defaultRowHeight="14"/>
  <cols>
    <col min="1" max="1" width="16" customWidth="1"/>
    <col min="2" max="2" width="12" customWidth="1"/>
    <col min="3" max="3" width="16" customWidth="1"/>
    <col min="4" max="4" width="18" customWidth="1"/>
    <col min="5" max="8" width="14" customWidth="1"/>
  </cols>
  <sheetData>
    <row r="1" spans="1:15" ht="32" customHeight="1">
      <c r="A1" s="18" t="s">
        <v>0</v>
      </c>
      <c r="B1" s="19"/>
      <c r="C1" s="19"/>
      <c r="D1" s="19"/>
      <c r="E1" s="19"/>
      <c r="F1" s="19"/>
      <c r="G1" s="19"/>
      <c r="H1" s="19"/>
      <c r="I1" s="8"/>
      <c r="J1" s="8"/>
      <c r="K1" s="8"/>
      <c r="L1" s="8"/>
      <c r="M1" s="8"/>
      <c r="N1" s="8"/>
      <c r="O1" s="8"/>
    </row>
    <row r="2" spans="1:15">
      <c r="A2" s="20" t="s">
        <v>1</v>
      </c>
      <c r="B2" s="21"/>
      <c r="C2" s="21"/>
      <c r="D2" s="21"/>
      <c r="E2" s="21"/>
      <c r="F2" s="21"/>
      <c r="G2" s="21"/>
      <c r="H2" s="21"/>
    </row>
    <row r="4" spans="1:15" ht="18">
      <c r="A4" s="12" t="s">
        <v>2</v>
      </c>
      <c r="B4" s="13">
        <f>COUNTA(总用例!A2:A500)</f>
        <v>65</v>
      </c>
      <c r="C4" s="12" t="s">
        <v>3</v>
      </c>
      <c r="D4" s="13">
        <f>COUNTIF(总用例!K2:K500,"通过")+COUNTIF(总用例!K2:K500,"失败")+COUNTIF(总用例!K2:K500,"阻塞")</f>
        <v>65</v>
      </c>
      <c r="E4" s="12" t="s">
        <v>4</v>
      </c>
      <c r="F4" s="13">
        <f>COUNTIF(总用例!K2:K500,"通过")</f>
        <v>65</v>
      </c>
      <c r="G4" s="12" t="s">
        <v>5</v>
      </c>
      <c r="H4" s="13">
        <f>COUNTIF(总用例!K2:K500,"失败")</f>
        <v>0</v>
      </c>
    </row>
    <row r="7" spans="1:15" ht="18">
      <c r="A7" s="12" t="s">
        <v>6</v>
      </c>
      <c r="B7" s="13">
        <f>COUNTIF(总用例!K2:K500,"阻塞")</f>
        <v>0</v>
      </c>
      <c r="C7" s="12" t="s">
        <v>7</v>
      </c>
      <c r="D7" s="13">
        <f>COUNTIF(总用例!K2:K500,"未执行")</f>
        <v>0</v>
      </c>
      <c r="E7" s="12" t="s">
        <v>8</v>
      </c>
      <c r="F7" s="14">
        <f>IF(B5=0,0,B6/B5)</f>
        <v>0</v>
      </c>
      <c r="G7" s="12" t="s">
        <v>9</v>
      </c>
      <c r="H7" s="14">
        <f>IF(B6=0,0,B7/B6)</f>
        <v>0</v>
      </c>
    </row>
    <row r="10" spans="1:15" ht="15">
      <c r="A10" s="15" t="s">
        <v>10</v>
      </c>
      <c r="B10" s="16" t="s">
        <v>11</v>
      </c>
      <c r="D10" s="15" t="s">
        <v>12</v>
      </c>
      <c r="E10" s="15" t="s">
        <v>13</v>
      </c>
      <c r="F10" s="15" t="s">
        <v>4</v>
      </c>
      <c r="G10" s="15" t="s">
        <v>5</v>
      </c>
      <c r="H10" s="15" t="s">
        <v>7</v>
      </c>
    </row>
    <row r="11" spans="1:15">
      <c r="A11" t="s">
        <v>7</v>
      </c>
      <c r="B11" s="17">
        <f>COUNTIF(总用例!K2:K500,"未执行")</f>
        <v>0</v>
      </c>
      <c r="D11" t="s">
        <v>14</v>
      </c>
      <c r="E11">
        <f>COUNTIF(总用例!B2:B500,"用户认证")</f>
        <v>10</v>
      </c>
      <c r="F11">
        <f>COUNTIFS(总用例!B2:B500,"用户认证",总用例!K2:K500,"通过")</f>
        <v>10</v>
      </c>
      <c r="G11">
        <f>COUNTIFS(总用例!B2:B500,"用户认证",总用例!K2:K500,"失败")</f>
        <v>0</v>
      </c>
      <c r="H11">
        <f>COUNTIFS(总用例!B2:B500,"用户认证",总用例!K2:K500,"未执行")</f>
        <v>0</v>
      </c>
    </row>
    <row r="12" spans="1:15">
      <c r="A12" t="s">
        <v>4</v>
      </c>
      <c r="B12">
        <f>COUNTIF(总用例!K2:K500,"通过")</f>
        <v>65</v>
      </c>
      <c r="D12" t="s">
        <v>15</v>
      </c>
      <c r="E12">
        <f>COUNTIF(总用例!B2:B500,"菜品菜单库存")</f>
        <v>10</v>
      </c>
      <c r="F12">
        <f>COUNTIFS(总用例!B2:B500,"菜品菜单库存",总用例!K2:K500,"通过")</f>
        <v>10</v>
      </c>
      <c r="G12">
        <f>COUNTIFS(总用例!B2:B500,"菜品菜单库存",总用例!K2:K500,"失败")</f>
        <v>0</v>
      </c>
      <c r="H12">
        <f>COUNTIFS(总用例!B2:B500,"菜品菜单库存",总用例!K2:K500,"未执行")</f>
        <v>0</v>
      </c>
    </row>
    <row r="13" spans="1:15">
      <c r="A13" t="s">
        <v>5</v>
      </c>
      <c r="B13">
        <f>COUNTIF(总用例!K2:K500,"失败")</f>
        <v>0</v>
      </c>
      <c r="D13" t="s">
        <v>16</v>
      </c>
      <c r="E13">
        <f>COUNTIF(总用例!B2:B500,"订单交易")</f>
        <v>13</v>
      </c>
      <c r="F13">
        <f>COUNTIFS(总用例!B2:B500,"订单交易",总用例!K2:K500,"通过")</f>
        <v>13</v>
      </c>
      <c r="G13">
        <f>COUNTIFS(总用例!B2:B500,"订单交易",总用例!K2:K500,"失败")</f>
        <v>0</v>
      </c>
      <c r="H13">
        <f>COUNTIFS(总用例!B2:B500,"订单交易",总用例!K2:K500,"未执行")</f>
        <v>0</v>
      </c>
    </row>
    <row r="14" spans="1:15">
      <c r="A14" t="s">
        <v>6</v>
      </c>
      <c r="B14">
        <f>COUNTIF(总用例!K2:K500,"阻塞")</f>
        <v>0</v>
      </c>
      <c r="D14" t="s">
        <v>17</v>
      </c>
      <c r="E14">
        <f>COUNTIF(总用例!B2:B500,"取餐排队大屏")</f>
        <v>13</v>
      </c>
      <c r="F14">
        <f>COUNTIFS(总用例!B2:B500,"取餐排队大屏",总用例!K2:K500,"通过")</f>
        <v>13</v>
      </c>
      <c r="G14">
        <f>COUNTIFS(总用例!B2:B500,"取餐排队大屏",总用例!K2:K500,"失败")</f>
        <v>0</v>
      </c>
      <c r="H14">
        <f>COUNTIFS(总用例!B2:B500,"取餐排队大屏",总用例!K2:K500,"未执行")</f>
        <v>0</v>
      </c>
    </row>
    <row r="15" spans="1:15">
      <c r="A15" t="s">
        <v>18</v>
      </c>
      <c r="B15">
        <f>COUNTIF(总用例!K2:K500,"不适用")</f>
        <v>0</v>
      </c>
      <c r="D15" t="s">
        <v>19</v>
      </c>
      <c r="E15">
        <f>COUNTIF(总用例!B2:B500,"网关安全")</f>
        <v>9</v>
      </c>
      <c r="F15">
        <f>COUNTIFS(总用例!B2:B500,"网关安全",总用例!K2:K500,"通过")</f>
        <v>9</v>
      </c>
      <c r="G15">
        <f>COUNTIFS(总用例!B2:B500,"网关安全",总用例!K2:K500,"失败")</f>
        <v>0</v>
      </c>
      <c r="H15">
        <f>COUNTIFS(总用例!B2:B500,"网关安全",总用例!K2:K500,"未执行")</f>
        <v>0</v>
      </c>
    </row>
    <row r="16" spans="1:15">
      <c r="D16" t="s">
        <v>20</v>
      </c>
      <c r="E16">
        <f>COUNTIF(总用例!B2:B500,"部署基础组件")</f>
        <v>10</v>
      </c>
      <c r="F16">
        <f>COUNTIFS(总用例!B2:B500,"部署基础组件",总用例!K2:K500,"通过")</f>
        <v>10</v>
      </c>
      <c r="G16">
        <f>COUNTIFS(总用例!B2:B500,"部署基础组件",总用例!K2:K500,"失败")</f>
        <v>0</v>
      </c>
      <c r="H16">
        <f>COUNTIFS(总用例!B2:B500,"部署基础组件",总用例!K2:K500,"未执行")</f>
        <v>0</v>
      </c>
    </row>
    <row r="18" spans="1:8" ht="15">
      <c r="A18" s="15" t="s">
        <v>21</v>
      </c>
      <c r="B18" s="15" t="s">
        <v>13</v>
      </c>
      <c r="C18" s="15" t="s">
        <v>22</v>
      </c>
      <c r="D18" s="15" t="s">
        <v>23</v>
      </c>
      <c r="E18" s="15" t="s">
        <v>11</v>
      </c>
      <c r="F18" s="15" t="s">
        <v>24</v>
      </c>
      <c r="G18" s="15" t="s">
        <v>25</v>
      </c>
      <c r="H18" s="15" t="s">
        <v>11</v>
      </c>
    </row>
    <row r="19" spans="1:8">
      <c r="A19" t="s">
        <v>26</v>
      </c>
      <c r="B19">
        <f>COUNTIF(总用例!D2:D500,"P0")</f>
        <v>34</v>
      </c>
      <c r="C19">
        <f>COUNTIFS(总用例!D2:D500,"P0",总用例!K2:K500,"失败")</f>
        <v>0</v>
      </c>
      <c r="D19" t="s">
        <v>27</v>
      </c>
      <c r="E19" t="e">
        <f>COUNTIF(#REF!,"新建")</f>
        <v>#REF!</v>
      </c>
      <c r="G19" t="s">
        <v>28</v>
      </c>
      <c r="H19" t="e">
        <f>COUNTIF(#REF!,"致命")</f>
        <v>#REF!</v>
      </c>
    </row>
    <row r="20" spans="1:8">
      <c r="A20" t="s">
        <v>29</v>
      </c>
      <c r="B20">
        <f>COUNTIF(总用例!D2:D500,"P1")</f>
        <v>25</v>
      </c>
      <c r="C20">
        <f>COUNTIFS(总用例!D2:D500,"P1",总用例!K2:K500,"失败")</f>
        <v>0</v>
      </c>
      <c r="D20" t="s">
        <v>30</v>
      </c>
      <c r="E20" t="e">
        <f>COUNTIF(#REF!,"处理中")</f>
        <v>#REF!</v>
      </c>
      <c r="G20" t="s">
        <v>31</v>
      </c>
      <c r="H20" t="e">
        <f>COUNTIF(#REF!,"高")</f>
        <v>#REF!</v>
      </c>
    </row>
    <row r="21" spans="1:8">
      <c r="A21" t="s">
        <v>32</v>
      </c>
      <c r="B21">
        <f>COUNTIF(总用例!D2:D500,"P2")</f>
        <v>6</v>
      </c>
      <c r="C21">
        <f>COUNTIFS(总用例!D2:D500,"P2",总用例!K2:K500,"失败")</f>
        <v>0</v>
      </c>
      <c r="D21" t="s">
        <v>33</v>
      </c>
      <c r="E21" t="e">
        <f>COUNTIF(#REF!,"已修复")</f>
        <v>#REF!</v>
      </c>
      <c r="G21" t="s">
        <v>34</v>
      </c>
      <c r="H21" t="e">
        <f>COUNTIF(#REF!,"中")</f>
        <v>#REF!</v>
      </c>
    </row>
    <row r="22" spans="1:8">
      <c r="A22" t="s">
        <v>35</v>
      </c>
      <c r="B22">
        <f>COUNTIF(总用例!D2:D500,"P3")</f>
        <v>0</v>
      </c>
      <c r="C22">
        <f>COUNTIFS(总用例!D2:D500,"P3",总用例!K2:K500,"失败")</f>
        <v>0</v>
      </c>
      <c r="D22" t="s">
        <v>36</v>
      </c>
      <c r="E22" t="e">
        <f>COUNTIF(#REF!,"已验证")</f>
        <v>#REF!</v>
      </c>
      <c r="G22" t="s">
        <v>37</v>
      </c>
      <c r="H22" t="e">
        <f>COUNTIF(#REF!,"低")</f>
        <v>#REF!</v>
      </c>
    </row>
    <row r="23" spans="1:8">
      <c r="D23" t="s">
        <v>38</v>
      </c>
      <c r="E23" t="e">
        <f>COUNTIF(#REF!,"关闭")</f>
        <v>#REF!</v>
      </c>
    </row>
    <row r="25" spans="1:8">
      <c r="A25" s="22" t="s">
        <v>39</v>
      </c>
      <c r="B25" s="21"/>
      <c r="C25" s="21"/>
      <c r="D25" s="21"/>
      <c r="E25" s="21"/>
      <c r="F25" s="21"/>
      <c r="G25" s="21"/>
      <c r="H25" s="21"/>
    </row>
    <row r="26" spans="1:8">
      <c r="A26" s="21"/>
      <c r="B26" s="21"/>
      <c r="C26" s="21"/>
      <c r="D26" s="21"/>
      <c r="E26" s="21"/>
      <c r="F26" s="21"/>
      <c r="G26" s="21"/>
      <c r="H26" s="21"/>
    </row>
  </sheetData>
  <mergeCells count="3">
    <mergeCell ref="A1:H1"/>
    <mergeCell ref="A2:H2"/>
    <mergeCell ref="A25:H26"/>
  </mergeCells>
  <phoneticPr fontId="7" type="noConversion"/>
  <conditionalFormatting sqref="B11:B15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{F6239C57-1E54-4217-BED4-EECFD0EAC44E}</x14:id>
        </ext>
      </extLst>
    </cfRule>
  </conditionalFormatting>
  <conditionalFormatting sqref="E11:E16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{B81D306C-F4D9-477D-82AA-8226A78A0D61}</x14:id>
        </ext>
      </extLst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239C57-1E54-4217-BED4-EECFD0EAC44E}">
            <x14:dataBar negativeBarColorSameAsPositive="1">
              <x14:cfvo type="min"/>
              <x14:cfvo type="max"/>
              <x14:axisColor indexed="65"/>
            </x14:dataBar>
          </x14:cfRule>
          <xm:sqref>B11:B15</xm:sqref>
        </x14:conditionalFormatting>
        <x14:conditionalFormatting xmlns:xm="http://schemas.microsoft.com/office/excel/2006/main">
          <x14:cfRule type="dataBar" id="{B81D306C-F4D9-477D-82AA-8226A78A0D61}">
            <x14:dataBar negativeBarColorSameAsPositive="1">
              <x14:cfvo type="min"/>
              <x14:cfvo type="max"/>
              <x14:axisColor indexed="65"/>
            </x14:dataBar>
          </x14:cfRule>
          <xm:sqref>E11:E16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5"/>
  <sheetViews>
    <sheetView topLeftCell="C1" workbookViewId="0">
      <selection activeCell="J1" sqref="J1:J1048576"/>
    </sheetView>
  </sheetViews>
  <sheetFormatPr baseColWidth="10" defaultColWidth="9" defaultRowHeight="14"/>
  <cols>
    <col min="1" max="1" width="12" customWidth="1"/>
    <col min="2" max="2" width="16" customWidth="1"/>
    <col min="3" max="3" width="26" customWidth="1"/>
    <col min="4" max="5" width="10" customWidth="1"/>
    <col min="6" max="9" width="32" customWidth="1"/>
    <col min="10" max="10" width="22" hidden="1" customWidth="1"/>
    <col min="11" max="12" width="12" customWidth="1"/>
    <col min="13" max="13" width="10" customWidth="1"/>
    <col min="14" max="14" width="14" customWidth="1"/>
    <col min="15" max="15" width="24" customWidth="1"/>
  </cols>
  <sheetData>
    <row r="1" spans="1:15" ht="15">
      <c r="A1" s="7" t="s">
        <v>40</v>
      </c>
      <c r="B1" s="7" t="s">
        <v>12</v>
      </c>
      <c r="C1" s="7" t="s">
        <v>41</v>
      </c>
      <c r="D1" s="7" t="s">
        <v>21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10</v>
      </c>
      <c r="L1" s="7" t="s">
        <v>48</v>
      </c>
      <c r="M1" s="7" t="s">
        <v>49</v>
      </c>
      <c r="N1" s="7" t="s">
        <v>50</v>
      </c>
      <c r="O1" s="7" t="s">
        <v>51</v>
      </c>
    </row>
    <row r="2" spans="1:15" ht="46">
      <c r="A2" s="9" t="s">
        <v>52</v>
      </c>
      <c r="B2" s="9" t="s">
        <v>14</v>
      </c>
      <c r="C2" s="9" t="s">
        <v>53</v>
      </c>
      <c r="D2" s="9" t="s">
        <v>26</v>
      </c>
      <c r="E2" s="9" t="s">
        <v>54</v>
      </c>
      <c r="F2" s="9" t="s">
        <v>55</v>
      </c>
      <c r="G2" s="9" t="s">
        <v>56</v>
      </c>
      <c r="H2" s="9" t="s">
        <v>57</v>
      </c>
      <c r="I2" s="9" t="s">
        <v>58</v>
      </c>
      <c r="J2" s="9" t="s">
        <v>24</v>
      </c>
      <c r="K2" s="9" t="s">
        <v>4</v>
      </c>
      <c r="L2" s="9" t="s">
        <v>24</v>
      </c>
      <c r="M2" s="9" t="s">
        <v>24</v>
      </c>
      <c r="N2" s="10" t="s">
        <v>24</v>
      </c>
      <c r="O2" s="9" t="s">
        <v>24</v>
      </c>
    </row>
    <row r="3" spans="1:15" ht="15">
      <c r="A3" s="9" t="s">
        <v>59</v>
      </c>
      <c r="B3" s="9" t="s">
        <v>14</v>
      </c>
      <c r="C3" s="9" t="s">
        <v>60</v>
      </c>
      <c r="D3" s="9" t="s">
        <v>29</v>
      </c>
      <c r="E3" s="9" t="s">
        <v>54</v>
      </c>
      <c r="F3" s="9" t="s">
        <v>55</v>
      </c>
      <c r="G3" s="9" t="s">
        <v>61</v>
      </c>
      <c r="H3" s="9" t="s">
        <v>62</v>
      </c>
      <c r="I3" s="9" t="s">
        <v>63</v>
      </c>
      <c r="J3" s="9" t="s">
        <v>24</v>
      </c>
      <c r="K3" s="9" t="s">
        <v>4</v>
      </c>
      <c r="L3" s="9" t="s">
        <v>24</v>
      </c>
      <c r="M3" s="9" t="s">
        <v>24</v>
      </c>
      <c r="N3" s="10" t="s">
        <v>24</v>
      </c>
      <c r="O3" s="9" t="s">
        <v>24</v>
      </c>
    </row>
    <row r="4" spans="1:15" ht="16">
      <c r="A4" s="9" t="s">
        <v>64</v>
      </c>
      <c r="B4" s="9" t="s">
        <v>14</v>
      </c>
      <c r="C4" s="9" t="s">
        <v>65</v>
      </c>
      <c r="D4" s="9" t="s">
        <v>26</v>
      </c>
      <c r="E4" s="9" t="s">
        <v>66</v>
      </c>
      <c r="F4" s="9" t="s">
        <v>67</v>
      </c>
      <c r="G4" s="9" t="s">
        <v>68</v>
      </c>
      <c r="H4" s="9" t="s">
        <v>69</v>
      </c>
      <c r="I4" s="9" t="s">
        <v>70</v>
      </c>
      <c r="J4" s="9" t="s">
        <v>24</v>
      </c>
      <c r="K4" s="9" t="s">
        <v>4</v>
      </c>
      <c r="L4" s="9" t="s">
        <v>24</v>
      </c>
      <c r="M4" s="9" t="s">
        <v>24</v>
      </c>
      <c r="N4" s="10" t="s">
        <v>24</v>
      </c>
      <c r="O4" s="9" t="s">
        <v>24</v>
      </c>
    </row>
    <row r="5" spans="1:15" ht="31">
      <c r="A5" s="9" t="s">
        <v>71</v>
      </c>
      <c r="B5" s="9" t="s">
        <v>14</v>
      </c>
      <c r="C5" s="9" t="s">
        <v>72</v>
      </c>
      <c r="D5" s="9" t="s">
        <v>26</v>
      </c>
      <c r="E5" s="9" t="s">
        <v>54</v>
      </c>
      <c r="F5" s="9" t="s">
        <v>73</v>
      </c>
      <c r="G5" s="9" t="s">
        <v>74</v>
      </c>
      <c r="H5" s="9" t="s">
        <v>75</v>
      </c>
      <c r="I5" s="9" t="s">
        <v>76</v>
      </c>
      <c r="J5" s="9" t="s">
        <v>24</v>
      </c>
      <c r="K5" s="9" t="s">
        <v>4</v>
      </c>
      <c r="L5" s="9" t="s">
        <v>24</v>
      </c>
      <c r="M5" s="9" t="s">
        <v>24</v>
      </c>
      <c r="N5" s="10" t="s">
        <v>24</v>
      </c>
      <c r="O5" s="9" t="s">
        <v>24</v>
      </c>
    </row>
    <row r="6" spans="1:15" ht="31">
      <c r="A6" s="9" t="s">
        <v>77</v>
      </c>
      <c r="B6" s="9" t="s">
        <v>14</v>
      </c>
      <c r="C6" s="9" t="s">
        <v>78</v>
      </c>
      <c r="D6" s="9" t="s">
        <v>26</v>
      </c>
      <c r="E6" s="9" t="s">
        <v>66</v>
      </c>
      <c r="F6" s="9" t="s">
        <v>73</v>
      </c>
      <c r="G6" s="9" t="s">
        <v>79</v>
      </c>
      <c r="H6" s="9" t="s">
        <v>80</v>
      </c>
      <c r="I6" s="9" t="s">
        <v>81</v>
      </c>
      <c r="J6" s="9" t="s">
        <v>24</v>
      </c>
      <c r="K6" s="9" t="s">
        <v>4</v>
      </c>
      <c r="L6" s="9" t="s">
        <v>24</v>
      </c>
      <c r="M6" s="9" t="s">
        <v>24</v>
      </c>
      <c r="N6" s="10" t="s">
        <v>24</v>
      </c>
      <c r="O6" s="9" t="s">
        <v>24</v>
      </c>
    </row>
    <row r="7" spans="1:15" ht="15">
      <c r="A7" s="9" t="s">
        <v>82</v>
      </c>
      <c r="B7" s="9" t="s">
        <v>14</v>
      </c>
      <c r="C7" s="9" t="s">
        <v>83</v>
      </c>
      <c r="D7" s="9" t="s">
        <v>29</v>
      </c>
      <c r="E7" s="9" t="s">
        <v>54</v>
      </c>
      <c r="F7" s="9" t="s">
        <v>84</v>
      </c>
      <c r="G7" s="9" t="s">
        <v>85</v>
      </c>
      <c r="H7" s="9" t="s">
        <v>86</v>
      </c>
      <c r="I7" s="9" t="s">
        <v>87</v>
      </c>
      <c r="J7" s="9" t="s">
        <v>24</v>
      </c>
      <c r="K7" s="9" t="s">
        <v>4</v>
      </c>
      <c r="L7" s="9" t="s">
        <v>24</v>
      </c>
      <c r="M7" s="9" t="s">
        <v>24</v>
      </c>
      <c r="N7" s="10" t="s">
        <v>24</v>
      </c>
      <c r="O7" s="9" t="s">
        <v>24</v>
      </c>
    </row>
    <row r="8" spans="1:15" ht="15">
      <c r="A8" s="9" t="s">
        <v>88</v>
      </c>
      <c r="B8" s="9" t="s">
        <v>14</v>
      </c>
      <c r="C8" s="9" t="s">
        <v>89</v>
      </c>
      <c r="D8" s="9" t="s">
        <v>29</v>
      </c>
      <c r="E8" s="9" t="s">
        <v>90</v>
      </c>
      <c r="F8" s="9" t="s">
        <v>91</v>
      </c>
      <c r="G8" s="9" t="s">
        <v>92</v>
      </c>
      <c r="H8" s="9" t="s">
        <v>93</v>
      </c>
      <c r="I8" s="9" t="s">
        <v>94</v>
      </c>
      <c r="J8" s="9" t="s">
        <v>24</v>
      </c>
      <c r="K8" s="9" t="s">
        <v>4</v>
      </c>
      <c r="L8" s="9" t="s">
        <v>24</v>
      </c>
      <c r="M8" s="9" t="s">
        <v>24</v>
      </c>
      <c r="N8" s="10" t="s">
        <v>24</v>
      </c>
      <c r="O8" s="9" t="s">
        <v>24</v>
      </c>
    </row>
    <row r="9" spans="1:15" ht="30">
      <c r="A9" s="9" t="s">
        <v>95</v>
      </c>
      <c r="B9" s="9" t="s">
        <v>14</v>
      </c>
      <c r="C9" s="9" t="s">
        <v>96</v>
      </c>
      <c r="D9" s="9" t="s">
        <v>29</v>
      </c>
      <c r="E9" s="9" t="s">
        <v>97</v>
      </c>
      <c r="F9" s="9" t="s">
        <v>98</v>
      </c>
      <c r="G9" s="9" t="s">
        <v>99</v>
      </c>
      <c r="H9" s="9" t="s">
        <v>100</v>
      </c>
      <c r="I9" s="9" t="s">
        <v>101</v>
      </c>
      <c r="J9" s="9" t="s">
        <v>24</v>
      </c>
      <c r="K9" s="9" t="s">
        <v>4</v>
      </c>
      <c r="L9" s="9" t="s">
        <v>24</v>
      </c>
      <c r="M9" s="9" t="s">
        <v>24</v>
      </c>
      <c r="N9" s="10" t="s">
        <v>24</v>
      </c>
      <c r="O9" s="9" t="s">
        <v>24</v>
      </c>
    </row>
    <row r="10" spans="1:15" ht="30">
      <c r="A10" s="9" t="s">
        <v>102</v>
      </c>
      <c r="B10" s="9" t="s">
        <v>14</v>
      </c>
      <c r="C10" s="9" t="s">
        <v>103</v>
      </c>
      <c r="D10" s="9" t="s">
        <v>29</v>
      </c>
      <c r="E10" s="9" t="s">
        <v>54</v>
      </c>
      <c r="F10" s="9" t="s">
        <v>98</v>
      </c>
      <c r="G10" s="9" t="s">
        <v>104</v>
      </c>
      <c r="H10" s="9" t="s">
        <v>105</v>
      </c>
      <c r="I10" s="9" t="s">
        <v>106</v>
      </c>
      <c r="J10" s="9" t="s">
        <v>24</v>
      </c>
      <c r="K10" s="9" t="s">
        <v>4</v>
      </c>
      <c r="L10" s="9" t="s">
        <v>24</v>
      </c>
      <c r="M10" s="9" t="s">
        <v>24</v>
      </c>
      <c r="N10" s="10" t="s">
        <v>24</v>
      </c>
      <c r="O10" s="9" t="s">
        <v>24</v>
      </c>
    </row>
    <row r="11" spans="1:15" ht="31">
      <c r="A11" s="9" t="s">
        <v>107</v>
      </c>
      <c r="B11" s="9" t="s">
        <v>14</v>
      </c>
      <c r="C11" s="9" t="s">
        <v>108</v>
      </c>
      <c r="D11" s="9" t="s">
        <v>26</v>
      </c>
      <c r="E11" s="9" t="s">
        <v>90</v>
      </c>
      <c r="F11" s="9" t="s">
        <v>109</v>
      </c>
      <c r="G11" s="9" t="s">
        <v>110</v>
      </c>
      <c r="H11" s="9" t="s">
        <v>111</v>
      </c>
      <c r="I11" s="9" t="s">
        <v>112</v>
      </c>
      <c r="J11" s="9" t="s">
        <v>24</v>
      </c>
      <c r="K11" s="9" t="s">
        <v>4</v>
      </c>
      <c r="L11" s="9" t="s">
        <v>24</v>
      </c>
      <c r="M11" s="9" t="s">
        <v>24</v>
      </c>
      <c r="N11" s="10" t="s">
        <v>24</v>
      </c>
      <c r="O11" s="9" t="s">
        <v>24</v>
      </c>
    </row>
    <row r="12" spans="1:15" ht="31">
      <c r="A12" s="9" t="s">
        <v>113</v>
      </c>
      <c r="B12" s="9" t="s">
        <v>15</v>
      </c>
      <c r="C12" s="9" t="s">
        <v>114</v>
      </c>
      <c r="D12" s="9" t="s">
        <v>26</v>
      </c>
      <c r="E12" s="9" t="s">
        <v>54</v>
      </c>
      <c r="F12" s="9" t="s">
        <v>115</v>
      </c>
      <c r="G12" s="9" t="s">
        <v>116</v>
      </c>
      <c r="H12" s="9" t="s">
        <v>117</v>
      </c>
      <c r="I12" s="9" t="s">
        <v>118</v>
      </c>
      <c r="J12" s="9" t="s">
        <v>24</v>
      </c>
      <c r="K12" s="9" t="s">
        <v>4</v>
      </c>
      <c r="L12" s="9" t="s">
        <v>24</v>
      </c>
      <c r="M12" s="9" t="s">
        <v>24</v>
      </c>
      <c r="N12" s="10" t="s">
        <v>24</v>
      </c>
      <c r="O12" s="9" t="s">
        <v>24</v>
      </c>
    </row>
    <row r="13" spans="1:15" ht="15">
      <c r="A13" s="9" t="s">
        <v>119</v>
      </c>
      <c r="B13" s="9" t="s">
        <v>15</v>
      </c>
      <c r="C13" s="9" t="s">
        <v>120</v>
      </c>
      <c r="D13" s="9" t="s">
        <v>29</v>
      </c>
      <c r="E13" s="9" t="s">
        <v>54</v>
      </c>
      <c r="F13" s="9" t="s">
        <v>121</v>
      </c>
      <c r="G13" s="9" t="s">
        <v>122</v>
      </c>
      <c r="H13" s="9" t="s">
        <v>123</v>
      </c>
      <c r="I13" s="9" t="s">
        <v>124</v>
      </c>
      <c r="J13" s="9" t="s">
        <v>24</v>
      </c>
      <c r="K13" s="9" t="s">
        <v>4</v>
      </c>
      <c r="L13" s="9" t="s">
        <v>24</v>
      </c>
      <c r="M13" s="9" t="s">
        <v>24</v>
      </c>
      <c r="N13" s="10" t="s">
        <v>24</v>
      </c>
      <c r="O13" s="9" t="s">
        <v>24</v>
      </c>
    </row>
    <row r="14" spans="1:15" ht="16">
      <c r="A14" s="9" t="s">
        <v>125</v>
      </c>
      <c r="B14" s="9" t="s">
        <v>15</v>
      </c>
      <c r="C14" s="9" t="s">
        <v>126</v>
      </c>
      <c r="D14" s="9" t="s">
        <v>26</v>
      </c>
      <c r="E14" s="9" t="s">
        <v>54</v>
      </c>
      <c r="F14" s="9" t="s">
        <v>127</v>
      </c>
      <c r="G14" s="9" t="s">
        <v>128</v>
      </c>
      <c r="H14" s="9" t="s">
        <v>129</v>
      </c>
      <c r="I14" s="9" t="s">
        <v>130</v>
      </c>
      <c r="J14" s="9" t="s">
        <v>24</v>
      </c>
      <c r="K14" s="9" t="s">
        <v>4</v>
      </c>
      <c r="L14" s="9" t="s">
        <v>24</v>
      </c>
      <c r="M14" s="9" t="s">
        <v>24</v>
      </c>
      <c r="N14" s="10" t="s">
        <v>24</v>
      </c>
      <c r="O14" s="9" t="s">
        <v>24</v>
      </c>
    </row>
    <row r="15" spans="1:15" ht="31">
      <c r="A15" s="9" t="s">
        <v>131</v>
      </c>
      <c r="B15" s="9" t="s">
        <v>15</v>
      </c>
      <c r="C15" s="9" t="s">
        <v>132</v>
      </c>
      <c r="D15" s="9" t="s">
        <v>26</v>
      </c>
      <c r="E15" s="9" t="s">
        <v>54</v>
      </c>
      <c r="F15" s="9" t="s">
        <v>133</v>
      </c>
      <c r="G15" s="9" t="s">
        <v>134</v>
      </c>
      <c r="H15" s="9" t="s">
        <v>135</v>
      </c>
      <c r="I15" s="9" t="s">
        <v>136</v>
      </c>
      <c r="J15" s="9" t="s">
        <v>24</v>
      </c>
      <c r="K15" s="9" t="s">
        <v>4</v>
      </c>
      <c r="L15" s="9" t="s">
        <v>24</v>
      </c>
      <c r="M15" s="9" t="s">
        <v>24</v>
      </c>
      <c r="N15" s="10" t="s">
        <v>24</v>
      </c>
      <c r="O15" s="9" t="s">
        <v>24</v>
      </c>
    </row>
    <row r="16" spans="1:15" ht="16">
      <c r="A16" s="9" t="s">
        <v>137</v>
      </c>
      <c r="B16" s="9" t="s">
        <v>15</v>
      </c>
      <c r="C16" s="9" t="s">
        <v>138</v>
      </c>
      <c r="D16" s="9" t="s">
        <v>26</v>
      </c>
      <c r="E16" s="9" t="s">
        <v>139</v>
      </c>
      <c r="F16" s="9" t="s">
        <v>140</v>
      </c>
      <c r="G16" s="9" t="s">
        <v>141</v>
      </c>
      <c r="H16" s="9" t="s">
        <v>142</v>
      </c>
      <c r="I16" s="9" t="s">
        <v>143</v>
      </c>
      <c r="J16" s="9" t="s">
        <v>24</v>
      </c>
      <c r="K16" s="9" t="s">
        <v>4</v>
      </c>
      <c r="L16" s="9" t="s">
        <v>24</v>
      </c>
      <c r="M16" s="9" t="s">
        <v>24</v>
      </c>
      <c r="N16" s="10" t="s">
        <v>24</v>
      </c>
      <c r="O16" s="9" t="s">
        <v>24</v>
      </c>
    </row>
    <row r="17" spans="1:15" ht="16">
      <c r="A17" s="9" t="s">
        <v>144</v>
      </c>
      <c r="B17" s="9" t="s">
        <v>15</v>
      </c>
      <c r="C17" s="9" t="s">
        <v>145</v>
      </c>
      <c r="D17" s="9" t="s">
        <v>26</v>
      </c>
      <c r="E17" s="9" t="s">
        <v>90</v>
      </c>
      <c r="F17" s="9" t="s">
        <v>146</v>
      </c>
      <c r="G17" s="9" t="s">
        <v>147</v>
      </c>
      <c r="H17" s="9" t="s">
        <v>148</v>
      </c>
      <c r="I17" s="9" t="s">
        <v>149</v>
      </c>
      <c r="J17" s="9" t="s">
        <v>24</v>
      </c>
      <c r="K17" s="9" t="s">
        <v>4</v>
      </c>
      <c r="L17" s="9" t="s">
        <v>24</v>
      </c>
      <c r="M17" s="9" t="s">
        <v>24</v>
      </c>
      <c r="N17" s="10" t="s">
        <v>24</v>
      </c>
      <c r="O17" s="9" t="s">
        <v>24</v>
      </c>
    </row>
    <row r="18" spans="1:15" ht="31">
      <c r="A18" s="9" t="s">
        <v>150</v>
      </c>
      <c r="B18" s="9" t="s">
        <v>15</v>
      </c>
      <c r="C18" s="9" t="s">
        <v>151</v>
      </c>
      <c r="D18" s="9" t="s">
        <v>26</v>
      </c>
      <c r="E18" s="9" t="s">
        <v>66</v>
      </c>
      <c r="F18" s="9" t="s">
        <v>152</v>
      </c>
      <c r="G18" s="9" t="s">
        <v>153</v>
      </c>
      <c r="H18" s="9" t="s">
        <v>154</v>
      </c>
      <c r="I18" s="9" t="s">
        <v>155</v>
      </c>
      <c r="J18" s="9" t="s">
        <v>24</v>
      </c>
      <c r="K18" s="9" t="s">
        <v>4</v>
      </c>
      <c r="L18" s="9" t="s">
        <v>24</v>
      </c>
      <c r="M18" s="9" t="s">
        <v>24</v>
      </c>
      <c r="N18" s="10" t="s">
        <v>24</v>
      </c>
      <c r="O18" s="9" t="s">
        <v>24</v>
      </c>
    </row>
    <row r="19" spans="1:15" ht="16">
      <c r="A19" s="9" t="s">
        <v>156</v>
      </c>
      <c r="B19" s="9" t="s">
        <v>15</v>
      </c>
      <c r="C19" s="9" t="s">
        <v>157</v>
      </c>
      <c r="D19" s="9" t="s">
        <v>26</v>
      </c>
      <c r="E19" s="9" t="s">
        <v>139</v>
      </c>
      <c r="F19" s="9" t="s">
        <v>158</v>
      </c>
      <c r="G19" s="9" t="s">
        <v>159</v>
      </c>
      <c r="H19" s="9" t="s">
        <v>160</v>
      </c>
      <c r="I19" s="9" t="s">
        <v>161</v>
      </c>
      <c r="J19" s="9" t="s">
        <v>24</v>
      </c>
      <c r="K19" s="9" t="s">
        <v>4</v>
      </c>
      <c r="L19" s="9" t="s">
        <v>24</v>
      </c>
      <c r="M19" s="9" t="s">
        <v>24</v>
      </c>
      <c r="N19" s="10" t="s">
        <v>24</v>
      </c>
      <c r="O19" s="9" t="s">
        <v>24</v>
      </c>
    </row>
    <row r="20" spans="1:15" ht="15">
      <c r="A20" s="9" t="s">
        <v>162</v>
      </c>
      <c r="B20" s="9" t="s">
        <v>15</v>
      </c>
      <c r="C20" s="9" t="s">
        <v>163</v>
      </c>
      <c r="D20" s="9" t="s">
        <v>32</v>
      </c>
      <c r="E20" s="9" t="s">
        <v>54</v>
      </c>
      <c r="F20" s="9" t="s">
        <v>164</v>
      </c>
      <c r="G20" s="9" t="s">
        <v>165</v>
      </c>
      <c r="H20" s="9" t="s">
        <v>166</v>
      </c>
      <c r="I20" s="9" t="s">
        <v>167</v>
      </c>
      <c r="J20" s="9" t="s">
        <v>24</v>
      </c>
      <c r="K20" s="9" t="s">
        <v>4</v>
      </c>
      <c r="L20" s="9" t="s">
        <v>24</v>
      </c>
      <c r="M20" s="9" t="s">
        <v>24</v>
      </c>
      <c r="N20" s="10" t="s">
        <v>24</v>
      </c>
      <c r="O20" s="9" t="s">
        <v>24</v>
      </c>
    </row>
    <row r="21" spans="1:15" ht="15">
      <c r="A21" s="9" t="s">
        <v>168</v>
      </c>
      <c r="B21" s="9" t="s">
        <v>15</v>
      </c>
      <c r="C21" s="9" t="s">
        <v>169</v>
      </c>
      <c r="D21" s="9" t="s">
        <v>32</v>
      </c>
      <c r="E21" s="9" t="s">
        <v>66</v>
      </c>
      <c r="F21" s="9" t="s">
        <v>170</v>
      </c>
      <c r="G21" s="9" t="s">
        <v>171</v>
      </c>
      <c r="H21" s="9" t="s">
        <v>172</v>
      </c>
      <c r="I21" s="9" t="s">
        <v>173</v>
      </c>
      <c r="J21" s="9" t="s">
        <v>24</v>
      </c>
      <c r="K21" s="9" t="s">
        <v>4</v>
      </c>
      <c r="L21" s="9" t="s">
        <v>24</v>
      </c>
      <c r="M21" s="9" t="s">
        <v>24</v>
      </c>
      <c r="N21" s="10" t="s">
        <v>24</v>
      </c>
      <c r="O21" s="9" t="s">
        <v>24</v>
      </c>
    </row>
    <row r="22" spans="1:15" ht="31">
      <c r="A22" s="9" t="s">
        <v>174</v>
      </c>
      <c r="B22" s="9" t="s">
        <v>16</v>
      </c>
      <c r="C22" s="9" t="s">
        <v>175</v>
      </c>
      <c r="D22" s="9" t="s">
        <v>26</v>
      </c>
      <c r="E22" s="9" t="s">
        <v>54</v>
      </c>
      <c r="F22" s="9" t="s">
        <v>176</v>
      </c>
      <c r="G22" s="9" t="s">
        <v>177</v>
      </c>
      <c r="H22" s="9" t="s">
        <v>178</v>
      </c>
      <c r="I22" s="9" t="s">
        <v>179</v>
      </c>
      <c r="J22" s="9" t="s">
        <v>24</v>
      </c>
      <c r="K22" s="9" t="s">
        <v>4</v>
      </c>
      <c r="L22" s="9" t="s">
        <v>24</v>
      </c>
      <c r="M22" s="9" t="s">
        <v>24</v>
      </c>
      <c r="N22" s="10" t="s">
        <v>24</v>
      </c>
      <c r="O22" s="9" t="s">
        <v>24</v>
      </c>
    </row>
    <row r="23" spans="1:15" ht="16">
      <c r="A23" s="9" t="s">
        <v>180</v>
      </c>
      <c r="B23" s="9" t="s">
        <v>16</v>
      </c>
      <c r="C23" s="9" t="s">
        <v>181</v>
      </c>
      <c r="D23" s="9" t="s">
        <v>26</v>
      </c>
      <c r="E23" s="9" t="s">
        <v>139</v>
      </c>
      <c r="F23" s="9" t="s">
        <v>182</v>
      </c>
      <c r="G23" s="9" t="s">
        <v>183</v>
      </c>
      <c r="H23" s="9" t="s">
        <v>184</v>
      </c>
      <c r="I23" s="9" t="s">
        <v>185</v>
      </c>
      <c r="J23" s="9" t="s">
        <v>24</v>
      </c>
      <c r="K23" s="9" t="s">
        <v>4</v>
      </c>
      <c r="L23" s="9" t="s">
        <v>24</v>
      </c>
      <c r="M23" s="9" t="s">
        <v>24</v>
      </c>
      <c r="N23" s="10" t="s">
        <v>24</v>
      </c>
      <c r="O23" s="9" t="s">
        <v>24</v>
      </c>
    </row>
    <row r="24" spans="1:15" ht="16">
      <c r="A24" s="9" t="s">
        <v>186</v>
      </c>
      <c r="B24" s="9" t="s">
        <v>16</v>
      </c>
      <c r="C24" s="9" t="s">
        <v>187</v>
      </c>
      <c r="D24" s="9" t="s">
        <v>26</v>
      </c>
      <c r="E24" s="9" t="s">
        <v>54</v>
      </c>
      <c r="F24" s="9" t="s">
        <v>188</v>
      </c>
      <c r="G24" s="9" t="s">
        <v>189</v>
      </c>
      <c r="H24" s="9" t="s">
        <v>190</v>
      </c>
      <c r="I24" s="9" t="s">
        <v>191</v>
      </c>
      <c r="J24" s="9" t="s">
        <v>24</v>
      </c>
      <c r="K24" s="9" t="s">
        <v>4</v>
      </c>
      <c r="L24" s="9" t="s">
        <v>24</v>
      </c>
      <c r="M24" s="9" t="s">
        <v>24</v>
      </c>
      <c r="N24" s="10" t="s">
        <v>24</v>
      </c>
      <c r="O24" s="9" t="s">
        <v>24</v>
      </c>
    </row>
    <row r="25" spans="1:15" ht="16">
      <c r="A25" s="9" t="s">
        <v>192</v>
      </c>
      <c r="B25" s="9" t="s">
        <v>16</v>
      </c>
      <c r="C25" s="9" t="s">
        <v>193</v>
      </c>
      <c r="D25" s="9" t="s">
        <v>26</v>
      </c>
      <c r="E25" s="9" t="s">
        <v>66</v>
      </c>
      <c r="F25" s="9" t="s">
        <v>188</v>
      </c>
      <c r="G25" s="9" t="s">
        <v>194</v>
      </c>
      <c r="H25" s="9" t="s">
        <v>195</v>
      </c>
      <c r="I25" s="9" t="s">
        <v>196</v>
      </c>
      <c r="J25" s="9" t="s">
        <v>24</v>
      </c>
      <c r="K25" s="9" t="s">
        <v>4</v>
      </c>
      <c r="L25" s="9" t="s">
        <v>24</v>
      </c>
      <c r="M25" s="9" t="s">
        <v>24</v>
      </c>
      <c r="N25" s="10" t="s">
        <v>24</v>
      </c>
      <c r="O25" s="9" t="s">
        <v>24</v>
      </c>
    </row>
    <row r="26" spans="1:15" ht="16">
      <c r="A26" s="9" t="s">
        <v>197</v>
      </c>
      <c r="B26" s="9" t="s">
        <v>16</v>
      </c>
      <c r="C26" s="9" t="s">
        <v>198</v>
      </c>
      <c r="D26" s="9" t="s">
        <v>26</v>
      </c>
      <c r="E26" s="9" t="s">
        <v>139</v>
      </c>
      <c r="F26" s="9" t="s">
        <v>199</v>
      </c>
      <c r="G26" s="9" t="s">
        <v>200</v>
      </c>
      <c r="H26" s="9" t="s">
        <v>201</v>
      </c>
      <c r="I26" s="9" t="s">
        <v>202</v>
      </c>
      <c r="J26" s="9" t="s">
        <v>24</v>
      </c>
      <c r="K26" s="9" t="s">
        <v>4</v>
      </c>
      <c r="L26" s="9" t="s">
        <v>24</v>
      </c>
      <c r="M26" s="9" t="s">
        <v>24</v>
      </c>
      <c r="N26" s="10" t="s">
        <v>24</v>
      </c>
      <c r="O26" s="9" t="s">
        <v>24</v>
      </c>
    </row>
    <row r="27" spans="1:15" ht="15">
      <c r="A27" s="9" t="s">
        <v>203</v>
      </c>
      <c r="B27" s="9" t="s">
        <v>16</v>
      </c>
      <c r="C27" s="9" t="s">
        <v>204</v>
      </c>
      <c r="D27" s="9" t="s">
        <v>29</v>
      </c>
      <c r="E27" s="9" t="s">
        <v>54</v>
      </c>
      <c r="F27" s="9" t="s">
        <v>205</v>
      </c>
      <c r="G27" s="9" t="s">
        <v>206</v>
      </c>
      <c r="H27" s="9" t="s">
        <v>207</v>
      </c>
      <c r="I27" s="9" t="s">
        <v>208</v>
      </c>
      <c r="J27" s="9" t="s">
        <v>24</v>
      </c>
      <c r="K27" s="9" t="s">
        <v>4</v>
      </c>
      <c r="L27" s="9" t="s">
        <v>24</v>
      </c>
      <c r="M27" s="9" t="s">
        <v>24</v>
      </c>
      <c r="N27" s="10" t="s">
        <v>24</v>
      </c>
      <c r="O27" s="9" t="s">
        <v>24</v>
      </c>
    </row>
    <row r="28" spans="1:15" ht="15">
      <c r="A28" s="9" t="s">
        <v>209</v>
      </c>
      <c r="B28" s="9" t="s">
        <v>16</v>
      </c>
      <c r="C28" s="9" t="s">
        <v>210</v>
      </c>
      <c r="D28" s="9" t="s">
        <v>29</v>
      </c>
      <c r="E28" s="9" t="s">
        <v>54</v>
      </c>
      <c r="F28" s="9" t="s">
        <v>211</v>
      </c>
      <c r="G28" s="9" t="s">
        <v>212</v>
      </c>
      <c r="H28" s="9" t="s">
        <v>213</v>
      </c>
      <c r="I28" s="9" t="s">
        <v>214</v>
      </c>
      <c r="J28" s="9" t="s">
        <v>24</v>
      </c>
      <c r="K28" s="9" t="s">
        <v>4</v>
      </c>
      <c r="L28" s="9" t="s">
        <v>24</v>
      </c>
      <c r="M28" s="9" t="s">
        <v>24</v>
      </c>
      <c r="N28" s="10" t="s">
        <v>24</v>
      </c>
      <c r="O28" s="9" t="s">
        <v>24</v>
      </c>
    </row>
    <row r="29" spans="1:15" ht="31">
      <c r="A29" s="9" t="s">
        <v>215</v>
      </c>
      <c r="B29" s="9" t="s">
        <v>16</v>
      </c>
      <c r="C29" s="9" t="s">
        <v>216</v>
      </c>
      <c r="D29" s="9" t="s">
        <v>26</v>
      </c>
      <c r="E29" s="9" t="s">
        <v>54</v>
      </c>
      <c r="F29" s="9" t="s">
        <v>217</v>
      </c>
      <c r="G29" s="9" t="s">
        <v>218</v>
      </c>
      <c r="H29" s="9" t="s">
        <v>219</v>
      </c>
      <c r="I29" s="9" t="s">
        <v>220</v>
      </c>
      <c r="J29" s="9" t="s">
        <v>24</v>
      </c>
      <c r="K29" s="9" t="s">
        <v>4</v>
      </c>
      <c r="L29" s="9" t="s">
        <v>24</v>
      </c>
      <c r="M29" s="9" t="s">
        <v>24</v>
      </c>
      <c r="N29" s="10" t="s">
        <v>24</v>
      </c>
      <c r="O29" s="9" t="s">
        <v>24</v>
      </c>
    </row>
    <row r="30" spans="1:15" ht="30">
      <c r="A30" s="9" t="s">
        <v>221</v>
      </c>
      <c r="B30" s="9" t="s">
        <v>16</v>
      </c>
      <c r="C30" s="9" t="s">
        <v>222</v>
      </c>
      <c r="D30" s="9" t="s">
        <v>29</v>
      </c>
      <c r="E30" s="9" t="s">
        <v>54</v>
      </c>
      <c r="F30" s="9" t="s">
        <v>223</v>
      </c>
      <c r="G30" s="9" t="s">
        <v>224</v>
      </c>
      <c r="H30" s="9" t="s">
        <v>225</v>
      </c>
      <c r="I30" s="9" t="s">
        <v>226</v>
      </c>
      <c r="J30" s="9" t="s">
        <v>24</v>
      </c>
      <c r="K30" s="9" t="s">
        <v>4</v>
      </c>
      <c r="L30" s="9" t="s">
        <v>24</v>
      </c>
      <c r="M30" s="9" t="s">
        <v>24</v>
      </c>
      <c r="N30" s="10" t="s">
        <v>24</v>
      </c>
      <c r="O30" s="9" t="s">
        <v>24</v>
      </c>
    </row>
    <row r="31" spans="1:15" ht="15">
      <c r="A31" s="9" t="s">
        <v>227</v>
      </c>
      <c r="B31" s="9" t="s">
        <v>16</v>
      </c>
      <c r="C31" s="9" t="s">
        <v>228</v>
      </c>
      <c r="D31" s="9" t="s">
        <v>29</v>
      </c>
      <c r="E31" s="9" t="s">
        <v>139</v>
      </c>
      <c r="F31" s="9" t="s">
        <v>229</v>
      </c>
      <c r="G31" s="9" t="s">
        <v>230</v>
      </c>
      <c r="H31" s="9" t="s">
        <v>231</v>
      </c>
      <c r="I31" s="9" t="s">
        <v>202</v>
      </c>
      <c r="J31" s="9" t="s">
        <v>24</v>
      </c>
      <c r="K31" s="9" t="s">
        <v>4</v>
      </c>
      <c r="L31" s="9" t="s">
        <v>24</v>
      </c>
      <c r="M31" s="9" t="s">
        <v>24</v>
      </c>
      <c r="N31" s="10" t="s">
        <v>24</v>
      </c>
      <c r="O31" s="9" t="s">
        <v>24</v>
      </c>
    </row>
    <row r="32" spans="1:15" ht="31">
      <c r="A32" s="9" t="s">
        <v>232</v>
      </c>
      <c r="B32" s="9" t="s">
        <v>16</v>
      </c>
      <c r="C32" s="9" t="s">
        <v>233</v>
      </c>
      <c r="D32" s="9" t="s">
        <v>26</v>
      </c>
      <c r="E32" s="9" t="s">
        <v>54</v>
      </c>
      <c r="F32" s="9" t="s">
        <v>234</v>
      </c>
      <c r="G32" s="9" t="s">
        <v>235</v>
      </c>
      <c r="H32" s="9" t="s">
        <v>236</v>
      </c>
      <c r="I32" s="9" t="s">
        <v>237</v>
      </c>
      <c r="J32" s="9" t="s">
        <v>24</v>
      </c>
      <c r="K32" s="9" t="s">
        <v>4</v>
      </c>
      <c r="L32" s="9" t="s">
        <v>24</v>
      </c>
      <c r="M32" s="9" t="s">
        <v>24</v>
      </c>
      <c r="N32" s="10" t="s">
        <v>24</v>
      </c>
      <c r="O32" s="9" t="s">
        <v>24</v>
      </c>
    </row>
    <row r="33" spans="1:15" ht="16">
      <c r="A33" s="9" t="s">
        <v>238</v>
      </c>
      <c r="B33" s="9" t="s">
        <v>16</v>
      </c>
      <c r="C33" s="9" t="s">
        <v>239</v>
      </c>
      <c r="D33" s="9" t="s">
        <v>26</v>
      </c>
      <c r="E33" s="9" t="s">
        <v>66</v>
      </c>
      <c r="F33" s="9" t="s">
        <v>240</v>
      </c>
      <c r="G33" s="9" t="s">
        <v>241</v>
      </c>
      <c r="H33" s="9" t="s">
        <v>242</v>
      </c>
      <c r="I33" s="9" t="s">
        <v>243</v>
      </c>
      <c r="J33" s="9" t="s">
        <v>24</v>
      </c>
      <c r="K33" s="9" t="s">
        <v>4</v>
      </c>
      <c r="L33" s="9" t="s">
        <v>24</v>
      </c>
      <c r="M33" s="9" t="s">
        <v>24</v>
      </c>
      <c r="N33" s="10" t="s">
        <v>24</v>
      </c>
      <c r="O33" s="9" t="s">
        <v>24</v>
      </c>
    </row>
    <row r="34" spans="1:15" ht="30">
      <c r="A34" s="9" t="s">
        <v>244</v>
      </c>
      <c r="B34" s="9" t="s">
        <v>16</v>
      </c>
      <c r="C34" s="9" t="s">
        <v>245</v>
      </c>
      <c r="D34" s="9" t="s">
        <v>29</v>
      </c>
      <c r="E34" s="9" t="s">
        <v>66</v>
      </c>
      <c r="F34" s="9" t="s">
        <v>246</v>
      </c>
      <c r="G34" s="9" t="s">
        <v>247</v>
      </c>
      <c r="H34" s="9" t="s">
        <v>248</v>
      </c>
      <c r="I34" s="9" t="s">
        <v>249</v>
      </c>
      <c r="J34" s="9" t="s">
        <v>24</v>
      </c>
      <c r="K34" s="9" t="s">
        <v>4</v>
      </c>
      <c r="L34" s="9" t="s">
        <v>24</v>
      </c>
      <c r="M34" s="9" t="s">
        <v>24</v>
      </c>
      <c r="N34" s="10" t="s">
        <v>24</v>
      </c>
      <c r="O34" s="9" t="s">
        <v>24</v>
      </c>
    </row>
    <row r="35" spans="1:15" ht="31">
      <c r="A35" s="9" t="s">
        <v>250</v>
      </c>
      <c r="B35" s="9" t="s">
        <v>17</v>
      </c>
      <c r="C35" s="9" t="s">
        <v>251</v>
      </c>
      <c r="D35" s="9" t="s">
        <v>26</v>
      </c>
      <c r="E35" s="9" t="s">
        <v>54</v>
      </c>
      <c r="F35" s="9" t="s">
        <v>252</v>
      </c>
      <c r="G35" s="9" t="s">
        <v>253</v>
      </c>
      <c r="H35" s="9" t="s">
        <v>254</v>
      </c>
      <c r="I35" s="9" t="s">
        <v>255</v>
      </c>
      <c r="J35" s="9" t="s">
        <v>24</v>
      </c>
      <c r="K35" s="9" t="s">
        <v>4</v>
      </c>
      <c r="L35" s="9" t="s">
        <v>24</v>
      </c>
      <c r="M35" s="9" t="s">
        <v>24</v>
      </c>
      <c r="N35" s="10" t="s">
        <v>24</v>
      </c>
      <c r="O35" s="9" t="s">
        <v>24</v>
      </c>
    </row>
    <row r="36" spans="1:15" ht="15">
      <c r="A36" s="9" t="s">
        <v>256</v>
      </c>
      <c r="B36" s="9" t="s">
        <v>17</v>
      </c>
      <c r="C36" s="9" t="s">
        <v>257</v>
      </c>
      <c r="D36" s="9" t="s">
        <v>32</v>
      </c>
      <c r="E36" s="9" t="s">
        <v>54</v>
      </c>
      <c r="F36" s="9" t="s">
        <v>258</v>
      </c>
      <c r="G36" s="9" t="s">
        <v>259</v>
      </c>
      <c r="H36" s="9" t="s">
        <v>260</v>
      </c>
      <c r="I36" s="9" t="s">
        <v>261</v>
      </c>
      <c r="J36" s="9" t="s">
        <v>24</v>
      </c>
      <c r="K36" s="9" t="s">
        <v>4</v>
      </c>
      <c r="L36" s="9" t="s">
        <v>24</v>
      </c>
      <c r="M36" s="9" t="s">
        <v>24</v>
      </c>
      <c r="N36" s="10" t="s">
        <v>24</v>
      </c>
      <c r="O36" s="9" t="s">
        <v>24</v>
      </c>
    </row>
    <row r="37" spans="1:15" ht="16">
      <c r="A37" s="9" t="s">
        <v>262</v>
      </c>
      <c r="B37" s="9" t="s">
        <v>17</v>
      </c>
      <c r="C37" s="9" t="s">
        <v>263</v>
      </c>
      <c r="D37" s="9" t="s">
        <v>26</v>
      </c>
      <c r="E37" s="9" t="s">
        <v>139</v>
      </c>
      <c r="F37" s="9" t="s">
        <v>223</v>
      </c>
      <c r="G37" s="9" t="s">
        <v>252</v>
      </c>
      <c r="H37" s="9" t="s">
        <v>264</v>
      </c>
      <c r="I37" s="9" t="s">
        <v>265</v>
      </c>
      <c r="J37" s="9" t="s">
        <v>24</v>
      </c>
      <c r="K37" s="9" t="s">
        <v>4</v>
      </c>
      <c r="L37" s="9" t="s">
        <v>24</v>
      </c>
      <c r="M37" s="9" t="s">
        <v>24</v>
      </c>
      <c r="N37" s="10" t="s">
        <v>24</v>
      </c>
      <c r="O37" s="9" t="s">
        <v>24</v>
      </c>
    </row>
    <row r="38" spans="1:15" ht="16">
      <c r="A38" s="9" t="s">
        <v>266</v>
      </c>
      <c r="B38" s="9" t="s">
        <v>17</v>
      </c>
      <c r="C38" s="9" t="s">
        <v>267</v>
      </c>
      <c r="D38" s="9" t="s">
        <v>26</v>
      </c>
      <c r="E38" s="9" t="s">
        <v>139</v>
      </c>
      <c r="F38" s="9" t="s">
        <v>234</v>
      </c>
      <c r="G38" s="9" t="s">
        <v>268</v>
      </c>
      <c r="H38" s="9" t="s">
        <v>264</v>
      </c>
      <c r="I38" s="9" t="s">
        <v>269</v>
      </c>
      <c r="J38" s="9" t="s">
        <v>24</v>
      </c>
      <c r="K38" s="9" t="s">
        <v>4</v>
      </c>
      <c r="L38" s="9" t="s">
        <v>24</v>
      </c>
      <c r="M38" s="9" t="s">
        <v>24</v>
      </c>
      <c r="N38" s="10" t="s">
        <v>24</v>
      </c>
      <c r="O38" s="9" t="s">
        <v>24</v>
      </c>
    </row>
    <row r="39" spans="1:15" ht="16">
      <c r="A39" s="9" t="s">
        <v>270</v>
      </c>
      <c r="B39" s="9" t="s">
        <v>17</v>
      </c>
      <c r="C39" s="9" t="s">
        <v>271</v>
      </c>
      <c r="D39" s="9" t="s">
        <v>26</v>
      </c>
      <c r="E39" s="9" t="s">
        <v>54</v>
      </c>
      <c r="F39" s="9" t="s">
        <v>272</v>
      </c>
      <c r="G39" s="9" t="s">
        <v>235</v>
      </c>
      <c r="H39" s="9" t="s">
        <v>273</v>
      </c>
      <c r="I39" s="9" t="s">
        <v>274</v>
      </c>
      <c r="J39" s="9" t="s">
        <v>24</v>
      </c>
      <c r="K39" s="9" t="s">
        <v>4</v>
      </c>
      <c r="L39" s="9" t="s">
        <v>24</v>
      </c>
      <c r="M39" s="9" t="s">
        <v>24</v>
      </c>
      <c r="N39" s="10" t="s">
        <v>24</v>
      </c>
      <c r="O39" s="9" t="s">
        <v>24</v>
      </c>
    </row>
    <row r="40" spans="1:15" ht="15">
      <c r="A40" s="9" t="s">
        <v>275</v>
      </c>
      <c r="B40" s="9" t="s">
        <v>17</v>
      </c>
      <c r="C40" s="9" t="s">
        <v>276</v>
      </c>
      <c r="D40" s="9" t="s">
        <v>29</v>
      </c>
      <c r="E40" s="9" t="s">
        <v>54</v>
      </c>
      <c r="F40" s="9" t="s">
        <v>277</v>
      </c>
      <c r="G40" s="9" t="s">
        <v>278</v>
      </c>
      <c r="H40" s="9" t="s">
        <v>273</v>
      </c>
      <c r="I40" s="9" t="s">
        <v>279</v>
      </c>
      <c r="J40" s="9" t="s">
        <v>24</v>
      </c>
      <c r="K40" s="9" t="s">
        <v>4</v>
      </c>
      <c r="L40" s="9" t="s">
        <v>24</v>
      </c>
      <c r="M40" s="9" t="s">
        <v>24</v>
      </c>
      <c r="N40" s="10" t="s">
        <v>24</v>
      </c>
      <c r="O40" s="9" t="s">
        <v>24</v>
      </c>
    </row>
    <row r="41" spans="1:15" ht="16">
      <c r="A41" s="9" t="s">
        <v>280</v>
      </c>
      <c r="B41" s="9" t="s">
        <v>17</v>
      </c>
      <c r="C41" s="9" t="s">
        <v>281</v>
      </c>
      <c r="D41" s="9" t="s">
        <v>26</v>
      </c>
      <c r="E41" s="9" t="s">
        <v>54</v>
      </c>
      <c r="F41" s="9" t="s">
        <v>282</v>
      </c>
      <c r="G41" s="9" t="s">
        <v>283</v>
      </c>
      <c r="H41" s="9" t="s">
        <v>284</v>
      </c>
      <c r="I41" s="9" t="s">
        <v>285</v>
      </c>
      <c r="J41" s="9" t="s">
        <v>24</v>
      </c>
      <c r="K41" s="9" t="s">
        <v>4</v>
      </c>
      <c r="L41" s="9" t="s">
        <v>24</v>
      </c>
      <c r="M41" s="9" t="s">
        <v>24</v>
      </c>
      <c r="N41" s="10" t="s">
        <v>24</v>
      </c>
      <c r="O41" s="9" t="s">
        <v>24</v>
      </c>
    </row>
    <row r="42" spans="1:15" ht="15">
      <c r="A42" s="9" t="s">
        <v>286</v>
      </c>
      <c r="B42" s="9" t="s">
        <v>17</v>
      </c>
      <c r="C42" s="9" t="s">
        <v>287</v>
      </c>
      <c r="D42" s="9" t="s">
        <v>29</v>
      </c>
      <c r="E42" s="9" t="s">
        <v>54</v>
      </c>
      <c r="F42" s="9" t="s">
        <v>288</v>
      </c>
      <c r="G42" s="9" t="s">
        <v>289</v>
      </c>
      <c r="H42" s="9" t="s">
        <v>290</v>
      </c>
      <c r="I42" s="9" t="s">
        <v>291</v>
      </c>
      <c r="J42" s="9" t="s">
        <v>24</v>
      </c>
      <c r="K42" s="9" t="s">
        <v>4</v>
      </c>
      <c r="L42" s="9" t="s">
        <v>24</v>
      </c>
      <c r="M42" s="9" t="s">
        <v>24</v>
      </c>
      <c r="N42" s="10" t="s">
        <v>24</v>
      </c>
      <c r="O42" s="9" t="s">
        <v>24</v>
      </c>
    </row>
    <row r="43" spans="1:15" ht="16">
      <c r="A43" s="9" t="s">
        <v>292</v>
      </c>
      <c r="B43" s="9" t="s">
        <v>17</v>
      </c>
      <c r="C43" s="9" t="s">
        <v>293</v>
      </c>
      <c r="D43" s="9" t="s">
        <v>26</v>
      </c>
      <c r="E43" s="9" t="s">
        <v>97</v>
      </c>
      <c r="F43" s="9" t="s">
        <v>294</v>
      </c>
      <c r="G43" s="9" t="s">
        <v>295</v>
      </c>
      <c r="H43" s="9" t="s">
        <v>296</v>
      </c>
      <c r="I43" s="9" t="s">
        <v>297</v>
      </c>
      <c r="J43" s="9" t="s">
        <v>24</v>
      </c>
      <c r="K43" s="9" t="s">
        <v>4</v>
      </c>
      <c r="L43" s="9" t="s">
        <v>24</v>
      </c>
      <c r="M43" s="9" t="s">
        <v>24</v>
      </c>
      <c r="N43" s="10" t="s">
        <v>24</v>
      </c>
      <c r="O43" s="9" t="s">
        <v>24</v>
      </c>
    </row>
    <row r="44" spans="1:15" ht="30">
      <c r="A44" s="9" t="s">
        <v>298</v>
      </c>
      <c r="B44" s="9" t="s">
        <v>17</v>
      </c>
      <c r="C44" s="9" t="s">
        <v>299</v>
      </c>
      <c r="D44" s="9" t="s">
        <v>29</v>
      </c>
      <c r="E44" s="9" t="s">
        <v>54</v>
      </c>
      <c r="F44" s="9" t="s">
        <v>300</v>
      </c>
      <c r="G44" s="9" t="s">
        <v>301</v>
      </c>
      <c r="H44" s="9" t="s">
        <v>302</v>
      </c>
      <c r="I44" s="9" t="s">
        <v>303</v>
      </c>
      <c r="J44" s="9" t="s">
        <v>24</v>
      </c>
      <c r="K44" s="9" t="s">
        <v>4</v>
      </c>
      <c r="L44" s="9" t="s">
        <v>24</v>
      </c>
      <c r="M44" s="9" t="s">
        <v>24</v>
      </c>
      <c r="N44" s="10" t="s">
        <v>24</v>
      </c>
      <c r="O44" s="9" t="s">
        <v>24</v>
      </c>
    </row>
    <row r="45" spans="1:15" ht="15">
      <c r="A45" s="9" t="s">
        <v>304</v>
      </c>
      <c r="B45" s="9" t="s">
        <v>17</v>
      </c>
      <c r="C45" s="9" t="s">
        <v>305</v>
      </c>
      <c r="D45" s="9" t="s">
        <v>29</v>
      </c>
      <c r="E45" s="9" t="s">
        <v>306</v>
      </c>
      <c r="F45" s="9" t="s">
        <v>307</v>
      </c>
      <c r="G45" s="9" t="s">
        <v>308</v>
      </c>
      <c r="H45" s="9" t="s">
        <v>309</v>
      </c>
      <c r="I45" s="9" t="s">
        <v>310</v>
      </c>
      <c r="J45" s="9" t="s">
        <v>24</v>
      </c>
      <c r="K45" s="9" t="s">
        <v>4</v>
      </c>
      <c r="L45" s="9" t="s">
        <v>24</v>
      </c>
      <c r="M45" s="9" t="s">
        <v>24</v>
      </c>
      <c r="N45" s="10" t="s">
        <v>24</v>
      </c>
      <c r="O45" s="9" t="s">
        <v>24</v>
      </c>
    </row>
    <row r="46" spans="1:15" ht="30">
      <c r="A46" s="9" t="s">
        <v>311</v>
      </c>
      <c r="B46" s="9" t="s">
        <v>17</v>
      </c>
      <c r="C46" s="9" t="s">
        <v>312</v>
      </c>
      <c r="D46" s="9" t="s">
        <v>29</v>
      </c>
      <c r="E46" s="9" t="s">
        <v>306</v>
      </c>
      <c r="F46" s="9" t="s">
        <v>313</v>
      </c>
      <c r="G46" s="9" t="s">
        <v>314</v>
      </c>
      <c r="H46" s="9" t="s">
        <v>315</v>
      </c>
      <c r="I46" s="9" t="s">
        <v>316</v>
      </c>
      <c r="J46" s="9" t="s">
        <v>24</v>
      </c>
      <c r="K46" s="9" t="s">
        <v>4</v>
      </c>
      <c r="L46" s="9" t="s">
        <v>24</v>
      </c>
      <c r="M46" s="9" t="s">
        <v>24</v>
      </c>
      <c r="N46" s="10" t="s">
        <v>24</v>
      </c>
      <c r="O46" s="9" t="s">
        <v>24</v>
      </c>
    </row>
    <row r="47" spans="1:15" ht="15">
      <c r="A47" s="9" t="s">
        <v>317</v>
      </c>
      <c r="B47" s="9" t="s">
        <v>17</v>
      </c>
      <c r="C47" s="9" t="s">
        <v>318</v>
      </c>
      <c r="D47" s="9" t="s">
        <v>29</v>
      </c>
      <c r="E47" s="9" t="s">
        <v>54</v>
      </c>
      <c r="F47" s="9" t="s">
        <v>319</v>
      </c>
      <c r="G47" s="9" t="s">
        <v>320</v>
      </c>
      <c r="H47" s="9" t="s">
        <v>321</v>
      </c>
      <c r="I47" s="9" t="s">
        <v>322</v>
      </c>
      <c r="J47" s="9" t="s">
        <v>24</v>
      </c>
      <c r="K47" s="9" t="s">
        <v>4</v>
      </c>
      <c r="L47" s="9" t="s">
        <v>24</v>
      </c>
      <c r="M47" s="9" t="s">
        <v>24</v>
      </c>
      <c r="N47" s="10" t="s">
        <v>24</v>
      </c>
      <c r="O47" s="9" t="s">
        <v>24</v>
      </c>
    </row>
    <row r="48" spans="1:15" ht="15">
      <c r="A48" s="9" t="s">
        <v>323</v>
      </c>
      <c r="B48" s="9" t="s">
        <v>19</v>
      </c>
      <c r="C48" s="9" t="s">
        <v>324</v>
      </c>
      <c r="D48" s="9" t="s">
        <v>29</v>
      </c>
      <c r="E48" s="9" t="s">
        <v>90</v>
      </c>
      <c r="F48" s="9" t="s">
        <v>325</v>
      </c>
      <c r="G48" s="9" t="s">
        <v>326</v>
      </c>
      <c r="H48" s="9" t="s">
        <v>327</v>
      </c>
      <c r="I48" s="9" t="s">
        <v>328</v>
      </c>
      <c r="J48" s="9" t="s">
        <v>24</v>
      </c>
      <c r="K48" s="9" t="s">
        <v>4</v>
      </c>
      <c r="L48" s="9" t="s">
        <v>24</v>
      </c>
      <c r="M48" s="9" t="s">
        <v>24</v>
      </c>
      <c r="N48" s="10" t="s">
        <v>24</v>
      </c>
      <c r="O48" s="9" t="s">
        <v>24</v>
      </c>
    </row>
    <row r="49" spans="1:15" ht="16">
      <c r="A49" s="9" t="s">
        <v>329</v>
      </c>
      <c r="B49" s="9" t="s">
        <v>19</v>
      </c>
      <c r="C49" s="9" t="s">
        <v>330</v>
      </c>
      <c r="D49" s="9" t="s">
        <v>26</v>
      </c>
      <c r="E49" s="9" t="s">
        <v>97</v>
      </c>
      <c r="F49" s="9" t="s">
        <v>325</v>
      </c>
      <c r="G49" s="9" t="s">
        <v>331</v>
      </c>
      <c r="H49" s="9" t="s">
        <v>327</v>
      </c>
      <c r="I49" s="9" t="s">
        <v>332</v>
      </c>
      <c r="J49" s="9" t="s">
        <v>24</v>
      </c>
      <c r="K49" s="9" t="s">
        <v>4</v>
      </c>
      <c r="L49" s="9" t="s">
        <v>24</v>
      </c>
      <c r="M49" s="9" t="s">
        <v>24</v>
      </c>
      <c r="N49" s="10" t="s">
        <v>24</v>
      </c>
      <c r="O49" s="9" t="s">
        <v>24</v>
      </c>
    </row>
    <row r="50" spans="1:15" ht="16">
      <c r="A50" s="9" t="s">
        <v>333</v>
      </c>
      <c r="B50" s="9" t="s">
        <v>19</v>
      </c>
      <c r="C50" s="9" t="s">
        <v>334</v>
      </c>
      <c r="D50" s="9" t="s">
        <v>26</v>
      </c>
      <c r="E50" s="9" t="s">
        <v>97</v>
      </c>
      <c r="F50" s="9" t="s">
        <v>335</v>
      </c>
      <c r="G50" s="9" t="s">
        <v>336</v>
      </c>
      <c r="H50" s="9" t="s">
        <v>337</v>
      </c>
      <c r="I50" s="9" t="s">
        <v>338</v>
      </c>
      <c r="J50" s="9" t="s">
        <v>24</v>
      </c>
      <c r="K50" s="9" t="s">
        <v>4</v>
      </c>
      <c r="L50" s="9" t="s">
        <v>24</v>
      </c>
      <c r="M50" s="9" t="s">
        <v>24</v>
      </c>
      <c r="N50" s="10" t="s">
        <v>24</v>
      </c>
      <c r="O50" s="9" t="s">
        <v>24</v>
      </c>
    </row>
    <row r="51" spans="1:15" ht="16">
      <c r="A51" s="9" t="s">
        <v>339</v>
      </c>
      <c r="B51" s="9" t="s">
        <v>19</v>
      </c>
      <c r="C51" s="9" t="s">
        <v>340</v>
      </c>
      <c r="D51" s="9" t="s">
        <v>26</v>
      </c>
      <c r="E51" s="9" t="s">
        <v>97</v>
      </c>
      <c r="F51" s="9" t="s">
        <v>341</v>
      </c>
      <c r="G51" s="9" t="s">
        <v>342</v>
      </c>
      <c r="H51" s="9" t="s">
        <v>343</v>
      </c>
      <c r="I51" s="9" t="s">
        <v>344</v>
      </c>
      <c r="J51" s="9" t="s">
        <v>24</v>
      </c>
      <c r="K51" s="9" t="s">
        <v>4</v>
      </c>
      <c r="L51" s="9" t="s">
        <v>24</v>
      </c>
      <c r="M51" s="9" t="s">
        <v>24</v>
      </c>
      <c r="N51" s="10" t="s">
        <v>24</v>
      </c>
      <c r="O51" s="9" t="s">
        <v>24</v>
      </c>
    </row>
    <row r="52" spans="1:15" ht="15">
      <c r="A52" s="9" t="s">
        <v>345</v>
      </c>
      <c r="B52" s="9" t="s">
        <v>19</v>
      </c>
      <c r="C52" s="9" t="s">
        <v>346</v>
      </c>
      <c r="D52" s="9" t="s">
        <v>29</v>
      </c>
      <c r="E52" s="9" t="s">
        <v>97</v>
      </c>
      <c r="F52" s="9" t="s">
        <v>347</v>
      </c>
      <c r="G52" s="9" t="s">
        <v>348</v>
      </c>
      <c r="H52" s="9" t="s">
        <v>349</v>
      </c>
      <c r="I52" s="9" t="s">
        <v>350</v>
      </c>
      <c r="J52" s="9" t="s">
        <v>24</v>
      </c>
      <c r="K52" s="9" t="s">
        <v>4</v>
      </c>
      <c r="L52" s="9" t="s">
        <v>24</v>
      </c>
      <c r="M52" s="9" t="s">
        <v>24</v>
      </c>
      <c r="N52" s="10" t="s">
        <v>24</v>
      </c>
      <c r="O52" s="9" t="s">
        <v>24</v>
      </c>
    </row>
    <row r="53" spans="1:15" ht="15">
      <c r="A53" s="9" t="s">
        <v>351</v>
      </c>
      <c r="B53" s="9" t="s">
        <v>19</v>
      </c>
      <c r="C53" s="9" t="s">
        <v>352</v>
      </c>
      <c r="D53" s="9" t="s">
        <v>32</v>
      </c>
      <c r="E53" s="9" t="s">
        <v>97</v>
      </c>
      <c r="F53" s="9" t="s">
        <v>353</v>
      </c>
      <c r="G53" s="9" t="s">
        <v>354</v>
      </c>
      <c r="H53" s="9" t="s">
        <v>355</v>
      </c>
      <c r="I53" s="9" t="s">
        <v>356</v>
      </c>
      <c r="J53" s="9" t="s">
        <v>24</v>
      </c>
      <c r="K53" s="9" t="s">
        <v>4</v>
      </c>
      <c r="L53" s="9" t="s">
        <v>24</v>
      </c>
      <c r="M53" s="9" t="s">
        <v>24</v>
      </c>
      <c r="N53" s="10" t="s">
        <v>24</v>
      </c>
      <c r="O53" s="9" t="s">
        <v>24</v>
      </c>
    </row>
    <row r="54" spans="1:15" ht="15">
      <c r="A54" s="9" t="s">
        <v>357</v>
      </c>
      <c r="B54" s="9" t="s">
        <v>19</v>
      </c>
      <c r="C54" s="9" t="s">
        <v>358</v>
      </c>
      <c r="D54" s="9" t="s">
        <v>32</v>
      </c>
      <c r="E54" s="9" t="s">
        <v>97</v>
      </c>
      <c r="F54" s="9" t="s">
        <v>98</v>
      </c>
      <c r="G54" s="9" t="s">
        <v>359</v>
      </c>
      <c r="H54" s="9" t="s">
        <v>360</v>
      </c>
      <c r="I54" s="9" t="s">
        <v>361</v>
      </c>
      <c r="J54" s="9" t="s">
        <v>24</v>
      </c>
      <c r="K54" s="9" t="s">
        <v>4</v>
      </c>
      <c r="L54" s="9" t="s">
        <v>24</v>
      </c>
      <c r="M54" s="9" t="s">
        <v>24</v>
      </c>
      <c r="N54" s="10" t="s">
        <v>24</v>
      </c>
      <c r="O54" s="9" t="s">
        <v>24</v>
      </c>
    </row>
    <row r="55" spans="1:15" ht="15">
      <c r="A55" s="9" t="s">
        <v>362</v>
      </c>
      <c r="B55" s="9" t="s">
        <v>19</v>
      </c>
      <c r="C55" s="9" t="s">
        <v>363</v>
      </c>
      <c r="D55" s="9" t="s">
        <v>29</v>
      </c>
      <c r="E55" s="9" t="s">
        <v>90</v>
      </c>
      <c r="F55" s="9" t="s">
        <v>364</v>
      </c>
      <c r="G55" s="9" t="s">
        <v>365</v>
      </c>
      <c r="H55" s="9" t="s">
        <v>366</v>
      </c>
      <c r="I55" s="9" t="s">
        <v>367</v>
      </c>
      <c r="J55" s="9" t="s">
        <v>24</v>
      </c>
      <c r="K55" s="9" t="s">
        <v>4</v>
      </c>
      <c r="L55" s="9" t="s">
        <v>24</v>
      </c>
      <c r="M55" s="9" t="s">
        <v>24</v>
      </c>
      <c r="N55" s="10" t="s">
        <v>24</v>
      </c>
      <c r="O55" s="9" t="s">
        <v>24</v>
      </c>
    </row>
    <row r="56" spans="1:15" ht="15">
      <c r="A56" s="9" t="s">
        <v>368</v>
      </c>
      <c r="B56" s="9" t="s">
        <v>19</v>
      </c>
      <c r="C56" s="9" t="s">
        <v>369</v>
      </c>
      <c r="D56" s="9" t="s">
        <v>29</v>
      </c>
      <c r="E56" s="9" t="s">
        <v>90</v>
      </c>
      <c r="F56" s="9" t="s">
        <v>370</v>
      </c>
      <c r="G56" s="9" t="s">
        <v>371</v>
      </c>
      <c r="H56" s="9" t="s">
        <v>372</v>
      </c>
      <c r="I56" s="9" t="s">
        <v>373</v>
      </c>
      <c r="J56" s="9" t="s">
        <v>24</v>
      </c>
      <c r="K56" s="9" t="s">
        <v>4</v>
      </c>
      <c r="L56" s="9" t="s">
        <v>24</v>
      </c>
      <c r="M56" s="9" t="s">
        <v>24</v>
      </c>
      <c r="N56" s="10" t="s">
        <v>24</v>
      </c>
      <c r="O56" s="9" t="s">
        <v>24</v>
      </c>
    </row>
    <row r="57" spans="1:15" ht="16">
      <c r="A57" s="9" t="s">
        <v>374</v>
      </c>
      <c r="B57" s="9" t="s">
        <v>20</v>
      </c>
      <c r="C57" s="9" t="s">
        <v>375</v>
      </c>
      <c r="D57" s="9" t="s">
        <v>26</v>
      </c>
      <c r="E57" s="9" t="s">
        <v>376</v>
      </c>
      <c r="F57" s="9" t="s">
        <v>377</v>
      </c>
      <c r="G57" s="9" t="s">
        <v>378</v>
      </c>
      <c r="H57" s="9" t="s">
        <v>379</v>
      </c>
      <c r="I57" s="9" t="s">
        <v>380</v>
      </c>
      <c r="J57" s="9" t="s">
        <v>24</v>
      </c>
      <c r="K57" s="9" t="s">
        <v>4</v>
      </c>
      <c r="L57" s="9" t="s">
        <v>24</v>
      </c>
      <c r="M57" s="9" t="s">
        <v>24</v>
      </c>
      <c r="N57" s="10" t="s">
        <v>24</v>
      </c>
      <c r="O57" s="9" t="s">
        <v>24</v>
      </c>
    </row>
    <row r="58" spans="1:15" ht="15">
      <c r="A58" s="9" t="s">
        <v>381</v>
      </c>
      <c r="B58" s="9" t="s">
        <v>20</v>
      </c>
      <c r="C58" s="9" t="s">
        <v>382</v>
      </c>
      <c r="D58" s="9" t="s">
        <v>29</v>
      </c>
      <c r="E58" s="9" t="s">
        <v>376</v>
      </c>
      <c r="F58" s="9" t="s">
        <v>383</v>
      </c>
      <c r="G58" s="9" t="s">
        <v>384</v>
      </c>
      <c r="H58" s="9" t="s">
        <v>385</v>
      </c>
      <c r="I58" s="9" t="s">
        <v>386</v>
      </c>
      <c r="J58" s="9" t="s">
        <v>24</v>
      </c>
      <c r="K58" s="9" t="s">
        <v>4</v>
      </c>
      <c r="L58" s="9" t="s">
        <v>24</v>
      </c>
      <c r="M58" s="9" t="s">
        <v>24</v>
      </c>
      <c r="N58" s="10" t="s">
        <v>24</v>
      </c>
      <c r="O58" s="9" t="s">
        <v>24</v>
      </c>
    </row>
    <row r="59" spans="1:15" ht="15">
      <c r="A59" s="9" t="s">
        <v>387</v>
      </c>
      <c r="B59" s="9" t="s">
        <v>20</v>
      </c>
      <c r="C59" s="9" t="s">
        <v>388</v>
      </c>
      <c r="D59" s="9" t="s">
        <v>29</v>
      </c>
      <c r="E59" s="9" t="s">
        <v>90</v>
      </c>
      <c r="F59" s="9" t="s">
        <v>389</v>
      </c>
      <c r="G59" s="9" t="s">
        <v>390</v>
      </c>
      <c r="H59" s="9" t="s">
        <v>391</v>
      </c>
      <c r="I59" s="9" t="s">
        <v>392</v>
      </c>
      <c r="J59" s="9" t="s">
        <v>24</v>
      </c>
      <c r="K59" s="9" t="s">
        <v>4</v>
      </c>
      <c r="L59" s="9" t="s">
        <v>24</v>
      </c>
      <c r="M59" s="9" t="s">
        <v>24</v>
      </c>
      <c r="N59" s="10" t="s">
        <v>24</v>
      </c>
      <c r="O59" s="9" t="s">
        <v>24</v>
      </c>
    </row>
    <row r="60" spans="1:15" ht="15">
      <c r="A60" s="9" t="s">
        <v>393</v>
      </c>
      <c r="B60" s="9" t="s">
        <v>20</v>
      </c>
      <c r="C60" s="9" t="s">
        <v>394</v>
      </c>
      <c r="D60" s="9" t="s">
        <v>32</v>
      </c>
      <c r="E60" s="9" t="s">
        <v>90</v>
      </c>
      <c r="F60" s="9" t="s">
        <v>389</v>
      </c>
      <c r="G60" s="9" t="s">
        <v>395</v>
      </c>
      <c r="H60" s="9" t="s">
        <v>396</v>
      </c>
      <c r="I60" s="9" t="s">
        <v>397</v>
      </c>
      <c r="J60" s="9" t="s">
        <v>24</v>
      </c>
      <c r="K60" s="9" t="s">
        <v>4</v>
      </c>
      <c r="L60" s="9" t="s">
        <v>24</v>
      </c>
      <c r="M60" s="9" t="s">
        <v>24</v>
      </c>
      <c r="N60" s="10" t="s">
        <v>24</v>
      </c>
      <c r="O60" s="9" t="s">
        <v>24</v>
      </c>
    </row>
    <row r="61" spans="1:15" ht="31">
      <c r="A61" s="9" t="s">
        <v>398</v>
      </c>
      <c r="B61" s="9" t="s">
        <v>20</v>
      </c>
      <c r="C61" s="9" t="s">
        <v>399</v>
      </c>
      <c r="D61" s="9" t="s">
        <v>26</v>
      </c>
      <c r="E61" s="9" t="s">
        <v>139</v>
      </c>
      <c r="F61" s="9" t="s">
        <v>400</v>
      </c>
      <c r="G61" s="9" t="s">
        <v>401</v>
      </c>
      <c r="H61" s="9" t="s">
        <v>264</v>
      </c>
      <c r="I61" s="9" t="s">
        <v>402</v>
      </c>
      <c r="J61" s="9" t="s">
        <v>24</v>
      </c>
      <c r="K61" s="9" t="s">
        <v>4</v>
      </c>
      <c r="L61" s="9" t="s">
        <v>24</v>
      </c>
      <c r="M61" s="9" t="s">
        <v>24</v>
      </c>
      <c r="N61" s="10" t="s">
        <v>24</v>
      </c>
      <c r="O61" s="9" t="s">
        <v>24</v>
      </c>
    </row>
    <row r="62" spans="1:15" ht="16">
      <c r="A62" s="9" t="s">
        <v>403</v>
      </c>
      <c r="B62" s="9" t="s">
        <v>20</v>
      </c>
      <c r="C62" s="9" t="s">
        <v>404</v>
      </c>
      <c r="D62" s="9" t="s">
        <v>26</v>
      </c>
      <c r="E62" s="9" t="s">
        <v>139</v>
      </c>
      <c r="F62" s="9" t="s">
        <v>405</v>
      </c>
      <c r="G62" s="9" t="s">
        <v>406</v>
      </c>
      <c r="H62" s="9" t="s">
        <v>407</v>
      </c>
      <c r="I62" s="9" t="s">
        <v>408</v>
      </c>
      <c r="J62" s="9" t="s">
        <v>24</v>
      </c>
      <c r="K62" s="9" t="s">
        <v>4</v>
      </c>
      <c r="L62" s="9" t="s">
        <v>24</v>
      </c>
      <c r="M62" s="9" t="s">
        <v>24</v>
      </c>
      <c r="N62" s="10" t="s">
        <v>24</v>
      </c>
      <c r="O62" s="9" t="s">
        <v>24</v>
      </c>
    </row>
    <row r="63" spans="1:15" ht="31">
      <c r="A63" s="9" t="s">
        <v>409</v>
      </c>
      <c r="B63" s="9" t="s">
        <v>20</v>
      </c>
      <c r="C63" s="9" t="s">
        <v>410</v>
      </c>
      <c r="D63" s="9" t="s">
        <v>26</v>
      </c>
      <c r="E63" s="9" t="s">
        <v>139</v>
      </c>
      <c r="F63" s="9" t="s">
        <v>411</v>
      </c>
      <c r="G63" s="9" t="s">
        <v>412</v>
      </c>
      <c r="H63" s="9" t="s">
        <v>413</v>
      </c>
      <c r="I63" s="9" t="s">
        <v>414</v>
      </c>
      <c r="J63" s="9" t="s">
        <v>24</v>
      </c>
      <c r="K63" s="9" t="s">
        <v>4</v>
      </c>
      <c r="L63" s="9" t="s">
        <v>24</v>
      </c>
      <c r="M63" s="9" t="s">
        <v>24</v>
      </c>
      <c r="N63" s="10" t="s">
        <v>24</v>
      </c>
      <c r="O63" s="9" t="s">
        <v>24</v>
      </c>
    </row>
    <row r="64" spans="1:15" ht="16">
      <c r="A64" s="9" t="s">
        <v>415</v>
      </c>
      <c r="B64" s="9" t="s">
        <v>20</v>
      </c>
      <c r="C64" s="9" t="s">
        <v>416</v>
      </c>
      <c r="D64" s="9" t="s">
        <v>26</v>
      </c>
      <c r="E64" s="9" t="s">
        <v>376</v>
      </c>
      <c r="F64" s="9" t="s">
        <v>417</v>
      </c>
      <c r="G64" s="9" t="s">
        <v>418</v>
      </c>
      <c r="H64" s="9" t="s">
        <v>419</v>
      </c>
      <c r="I64" s="9" t="s">
        <v>420</v>
      </c>
      <c r="J64" s="9" t="s">
        <v>24</v>
      </c>
      <c r="K64" s="9" t="s">
        <v>4</v>
      </c>
      <c r="L64" s="9" t="s">
        <v>24</v>
      </c>
      <c r="M64" s="9" t="s">
        <v>24</v>
      </c>
      <c r="N64" s="10" t="s">
        <v>24</v>
      </c>
      <c r="O64" s="9" t="s">
        <v>24</v>
      </c>
    </row>
    <row r="65" spans="1:15" ht="15">
      <c r="A65" s="9" t="s">
        <v>421</v>
      </c>
      <c r="B65" s="9" t="s">
        <v>20</v>
      </c>
      <c r="C65" s="9" t="s">
        <v>422</v>
      </c>
      <c r="D65" s="9" t="s">
        <v>29</v>
      </c>
      <c r="E65" s="9" t="s">
        <v>376</v>
      </c>
      <c r="F65" s="9" t="s">
        <v>423</v>
      </c>
      <c r="G65" s="9" t="s">
        <v>424</v>
      </c>
      <c r="H65" s="9" t="s">
        <v>425</v>
      </c>
      <c r="I65" s="9" t="s">
        <v>426</v>
      </c>
      <c r="J65" s="9" t="s">
        <v>24</v>
      </c>
      <c r="K65" s="9" t="s">
        <v>4</v>
      </c>
      <c r="L65" s="9" t="s">
        <v>24</v>
      </c>
      <c r="M65" s="9" t="s">
        <v>24</v>
      </c>
      <c r="N65" s="10" t="s">
        <v>24</v>
      </c>
      <c r="O65" s="9" t="s">
        <v>24</v>
      </c>
    </row>
    <row r="66" spans="1:15" ht="30">
      <c r="A66" s="9" t="s">
        <v>427</v>
      </c>
      <c r="B66" s="9" t="s">
        <v>20</v>
      </c>
      <c r="C66" s="9" t="s">
        <v>428</v>
      </c>
      <c r="D66" s="9" t="s">
        <v>29</v>
      </c>
      <c r="E66" s="9" t="s">
        <v>139</v>
      </c>
      <c r="F66" s="9" t="s">
        <v>429</v>
      </c>
      <c r="G66" s="9" t="s">
        <v>430</v>
      </c>
      <c r="H66" s="9" t="s">
        <v>431</v>
      </c>
      <c r="I66" s="9" t="s">
        <v>432</v>
      </c>
      <c r="J66" s="9" t="s">
        <v>24</v>
      </c>
      <c r="K66" s="9" t="s">
        <v>4</v>
      </c>
      <c r="L66" s="9" t="s">
        <v>24</v>
      </c>
      <c r="M66" s="9" t="s">
        <v>24</v>
      </c>
      <c r="N66" s="10" t="s">
        <v>24</v>
      </c>
      <c r="O66" s="9" t="s">
        <v>24</v>
      </c>
    </row>
    <row r="67" spans="1:15">
      <c r="N67" s="11"/>
    </row>
    <row r="68" spans="1:15">
      <c r="N68" s="11"/>
    </row>
    <row r="69" spans="1:15">
      <c r="N69" s="11"/>
    </row>
    <row r="70" spans="1:15">
      <c r="N70" s="11"/>
    </row>
    <row r="71" spans="1:15">
      <c r="N71" s="11"/>
    </row>
    <row r="72" spans="1:15">
      <c r="N72" s="11"/>
    </row>
    <row r="73" spans="1:15">
      <c r="N73" s="11"/>
    </row>
    <row r="74" spans="1:15">
      <c r="N74" s="11"/>
    </row>
    <row r="75" spans="1:15">
      <c r="N75" s="11"/>
    </row>
    <row r="76" spans="1:15">
      <c r="N76" s="11"/>
    </row>
    <row r="77" spans="1:15">
      <c r="N77" s="11"/>
    </row>
    <row r="78" spans="1:15">
      <c r="N78" s="11"/>
    </row>
    <row r="79" spans="1:15">
      <c r="N79" s="11"/>
    </row>
    <row r="80" spans="1:15">
      <c r="N80" s="11"/>
    </row>
    <row r="81" spans="14:14">
      <c r="N81" s="11"/>
    </row>
    <row r="82" spans="14:14">
      <c r="N82" s="11"/>
    </row>
    <row r="83" spans="14:14">
      <c r="N83" s="11"/>
    </row>
    <row r="84" spans="14:14">
      <c r="N84" s="11"/>
    </row>
    <row r="85" spans="14:14">
      <c r="N85" s="11"/>
    </row>
    <row r="86" spans="14:14">
      <c r="N86" s="11"/>
    </row>
    <row r="87" spans="14:14">
      <c r="N87" s="11"/>
    </row>
    <row r="88" spans="14:14">
      <c r="N88" s="11"/>
    </row>
    <row r="89" spans="14:14">
      <c r="N89" s="11"/>
    </row>
    <row r="90" spans="14:14">
      <c r="N90" s="11"/>
    </row>
    <row r="91" spans="14:14">
      <c r="N91" s="11"/>
    </row>
    <row r="92" spans="14:14">
      <c r="N92" s="11"/>
    </row>
    <row r="93" spans="14:14">
      <c r="N93" s="11"/>
    </row>
    <row r="94" spans="14:14">
      <c r="N94" s="11"/>
    </row>
    <row r="95" spans="14:14">
      <c r="N95" s="11"/>
    </row>
    <row r="96" spans="14:14">
      <c r="N96" s="11"/>
    </row>
    <row r="97" spans="14:14">
      <c r="N97" s="11"/>
    </row>
    <row r="98" spans="14:14">
      <c r="N98" s="11"/>
    </row>
    <row r="99" spans="14:14">
      <c r="N99" s="11"/>
    </row>
    <row r="100" spans="14:14">
      <c r="N100" s="11"/>
    </row>
    <row r="101" spans="14:14">
      <c r="N101" s="11"/>
    </row>
    <row r="102" spans="14:14">
      <c r="N102" s="11"/>
    </row>
    <row r="103" spans="14:14">
      <c r="N103" s="11"/>
    </row>
    <row r="104" spans="14:14">
      <c r="N104" s="11"/>
    </row>
    <row r="105" spans="14:14">
      <c r="N105" s="11"/>
    </row>
    <row r="106" spans="14:14">
      <c r="N106" s="11"/>
    </row>
    <row r="107" spans="14:14">
      <c r="N107" s="11"/>
    </row>
    <row r="108" spans="14:14">
      <c r="N108" s="11"/>
    </row>
    <row r="109" spans="14:14">
      <c r="N109" s="11"/>
    </row>
    <row r="110" spans="14:14">
      <c r="N110" s="11"/>
    </row>
    <row r="111" spans="14:14">
      <c r="N111" s="11"/>
    </row>
    <row r="112" spans="14:14">
      <c r="N112" s="11"/>
    </row>
    <row r="113" spans="14:14">
      <c r="N113" s="11"/>
    </row>
    <row r="114" spans="14:14">
      <c r="N114" s="11"/>
    </row>
    <row r="115" spans="14:14">
      <c r="N115" s="11"/>
    </row>
    <row r="116" spans="14:14">
      <c r="N116" s="11"/>
    </row>
    <row r="117" spans="14:14">
      <c r="N117" s="11"/>
    </row>
    <row r="118" spans="14:14">
      <c r="N118" s="11"/>
    </row>
    <row r="119" spans="14:14">
      <c r="N119" s="11"/>
    </row>
    <row r="120" spans="14:14">
      <c r="N120" s="11"/>
    </row>
    <row r="121" spans="14:14">
      <c r="N121" s="11"/>
    </row>
    <row r="122" spans="14:14">
      <c r="N122" s="11"/>
    </row>
    <row r="123" spans="14:14">
      <c r="N123" s="11"/>
    </row>
    <row r="124" spans="14:14">
      <c r="N124" s="11"/>
    </row>
    <row r="125" spans="14:14">
      <c r="N125" s="11"/>
    </row>
    <row r="126" spans="14:14">
      <c r="N126" s="11"/>
    </row>
    <row r="127" spans="14:14">
      <c r="N127" s="11"/>
    </row>
    <row r="128" spans="14:14">
      <c r="N128" s="11"/>
    </row>
    <row r="129" spans="14:14">
      <c r="N129" s="11"/>
    </row>
    <row r="130" spans="14:14">
      <c r="N130" s="11"/>
    </row>
    <row r="131" spans="14:14">
      <c r="N131" s="11"/>
    </row>
    <row r="132" spans="14:14">
      <c r="N132" s="11"/>
    </row>
    <row r="133" spans="14:14">
      <c r="N133" s="11"/>
    </row>
    <row r="134" spans="14:14">
      <c r="N134" s="11"/>
    </row>
    <row r="135" spans="14:14">
      <c r="N135" s="11"/>
    </row>
    <row r="136" spans="14:14">
      <c r="N136" s="11"/>
    </row>
    <row r="137" spans="14:14">
      <c r="N137" s="11"/>
    </row>
    <row r="138" spans="14:14">
      <c r="N138" s="11"/>
    </row>
    <row r="139" spans="14:14">
      <c r="N139" s="11"/>
    </row>
    <row r="140" spans="14:14">
      <c r="N140" s="11"/>
    </row>
    <row r="141" spans="14:14">
      <c r="N141" s="11"/>
    </row>
    <row r="142" spans="14:14">
      <c r="N142" s="11"/>
    </row>
    <row r="143" spans="14:14">
      <c r="N143" s="11"/>
    </row>
    <row r="144" spans="14:14">
      <c r="N144" s="11"/>
    </row>
    <row r="145" spans="14:14">
      <c r="N145" s="11"/>
    </row>
    <row r="146" spans="14:14">
      <c r="N146" s="11"/>
    </row>
    <row r="147" spans="14:14">
      <c r="N147" s="11"/>
    </row>
    <row r="148" spans="14:14">
      <c r="N148" s="11"/>
    </row>
    <row r="149" spans="14:14">
      <c r="N149" s="11"/>
    </row>
    <row r="150" spans="14:14">
      <c r="N150" s="11"/>
    </row>
    <row r="151" spans="14:14">
      <c r="N151" s="11"/>
    </row>
    <row r="152" spans="14:14">
      <c r="N152" s="11"/>
    </row>
    <row r="153" spans="14:14">
      <c r="N153" s="11"/>
    </row>
    <row r="154" spans="14:14">
      <c r="N154" s="11"/>
    </row>
    <row r="155" spans="14:14">
      <c r="N155" s="11"/>
    </row>
    <row r="156" spans="14:14">
      <c r="N156" s="11"/>
    </row>
    <row r="157" spans="14:14">
      <c r="N157" s="11"/>
    </row>
    <row r="158" spans="14:14">
      <c r="N158" s="11"/>
    </row>
    <row r="159" spans="14:14">
      <c r="N159" s="11"/>
    </row>
    <row r="160" spans="14:14">
      <c r="N160" s="11"/>
    </row>
    <row r="161" spans="14:14">
      <c r="N161" s="11"/>
    </row>
    <row r="162" spans="14:14">
      <c r="N162" s="11"/>
    </row>
    <row r="163" spans="14:14">
      <c r="N163" s="11"/>
    </row>
    <row r="164" spans="14:14">
      <c r="N164" s="11"/>
    </row>
    <row r="165" spans="14:14">
      <c r="N165" s="11"/>
    </row>
    <row r="166" spans="14:14">
      <c r="N166" s="11"/>
    </row>
    <row r="167" spans="14:14">
      <c r="N167" s="11"/>
    </row>
    <row r="168" spans="14:14">
      <c r="N168" s="11"/>
    </row>
    <row r="169" spans="14:14">
      <c r="N169" s="11"/>
    </row>
    <row r="170" spans="14:14">
      <c r="N170" s="11"/>
    </row>
    <row r="171" spans="14:14">
      <c r="N171" s="11"/>
    </row>
    <row r="172" spans="14:14">
      <c r="N172" s="11"/>
    </row>
    <row r="173" spans="14:14">
      <c r="N173" s="11"/>
    </row>
    <row r="174" spans="14:14">
      <c r="N174" s="11"/>
    </row>
    <row r="175" spans="14:14">
      <c r="N175" s="11"/>
    </row>
    <row r="176" spans="14:14">
      <c r="N176" s="11"/>
    </row>
    <row r="177" spans="14:14">
      <c r="N177" s="11"/>
    </row>
    <row r="178" spans="14:14">
      <c r="N178" s="11"/>
    </row>
    <row r="179" spans="14:14">
      <c r="N179" s="11"/>
    </row>
    <row r="180" spans="14:14">
      <c r="N180" s="11"/>
    </row>
    <row r="181" spans="14:14">
      <c r="N181" s="11"/>
    </row>
    <row r="182" spans="14:14">
      <c r="N182" s="11"/>
    </row>
    <row r="183" spans="14:14">
      <c r="N183" s="11"/>
    </row>
    <row r="184" spans="14:14">
      <c r="N184" s="11"/>
    </row>
    <row r="185" spans="14:14">
      <c r="N185" s="11"/>
    </row>
    <row r="186" spans="14:14">
      <c r="N186" s="11"/>
    </row>
    <row r="187" spans="14:14">
      <c r="N187" s="11"/>
    </row>
    <row r="188" spans="14:14">
      <c r="N188" s="11"/>
    </row>
    <row r="189" spans="14:14">
      <c r="N189" s="11"/>
    </row>
    <row r="190" spans="14:14">
      <c r="N190" s="11"/>
    </row>
    <row r="191" spans="14:14">
      <c r="N191" s="11"/>
    </row>
    <row r="192" spans="14:14">
      <c r="N192" s="11"/>
    </row>
    <row r="193" spans="14:14">
      <c r="N193" s="11"/>
    </row>
    <row r="194" spans="14:14">
      <c r="N194" s="11"/>
    </row>
    <row r="195" spans="14:14">
      <c r="N195" s="11"/>
    </row>
    <row r="196" spans="14:14">
      <c r="N196" s="11"/>
    </row>
    <row r="197" spans="14:14">
      <c r="N197" s="11"/>
    </row>
    <row r="198" spans="14:14">
      <c r="N198" s="11"/>
    </row>
    <row r="199" spans="14:14">
      <c r="N199" s="11"/>
    </row>
    <row r="200" spans="14:14">
      <c r="N200" s="11"/>
    </row>
    <row r="201" spans="14:14">
      <c r="N201" s="11"/>
    </row>
    <row r="202" spans="14:14">
      <c r="N202" s="11"/>
    </row>
    <row r="203" spans="14:14">
      <c r="N203" s="11"/>
    </row>
    <row r="204" spans="14:14">
      <c r="N204" s="11"/>
    </row>
    <row r="205" spans="14:14">
      <c r="N205" s="11"/>
    </row>
    <row r="206" spans="14:14">
      <c r="N206" s="11"/>
    </row>
    <row r="207" spans="14:14">
      <c r="N207" s="11"/>
    </row>
    <row r="208" spans="14:14">
      <c r="N208" s="11"/>
    </row>
    <row r="209" spans="14:14">
      <c r="N209" s="11"/>
    </row>
    <row r="210" spans="14:14">
      <c r="N210" s="11"/>
    </row>
    <row r="211" spans="14:14">
      <c r="N211" s="11"/>
    </row>
    <row r="212" spans="14:14">
      <c r="N212" s="11"/>
    </row>
    <row r="213" spans="14:14">
      <c r="N213" s="11"/>
    </row>
    <row r="214" spans="14:14">
      <c r="N214" s="11"/>
    </row>
    <row r="215" spans="14:14">
      <c r="N215" s="11"/>
    </row>
    <row r="216" spans="14:14">
      <c r="N216" s="11"/>
    </row>
    <row r="217" spans="14:14">
      <c r="N217" s="11"/>
    </row>
    <row r="218" spans="14:14">
      <c r="N218" s="11"/>
    </row>
    <row r="219" spans="14:14">
      <c r="N219" s="11"/>
    </row>
    <row r="220" spans="14:14">
      <c r="N220" s="11"/>
    </row>
    <row r="221" spans="14:14">
      <c r="N221" s="11"/>
    </row>
    <row r="222" spans="14:14">
      <c r="N222" s="11"/>
    </row>
    <row r="223" spans="14:14">
      <c r="N223" s="11"/>
    </row>
    <row r="224" spans="14:14">
      <c r="N224" s="11"/>
    </row>
    <row r="225" spans="14:14">
      <c r="N225" s="11"/>
    </row>
    <row r="226" spans="14:14">
      <c r="N226" s="11"/>
    </row>
    <row r="227" spans="14:14">
      <c r="N227" s="11"/>
    </row>
    <row r="228" spans="14:14">
      <c r="N228" s="11"/>
    </row>
    <row r="229" spans="14:14">
      <c r="N229" s="11"/>
    </row>
    <row r="230" spans="14:14">
      <c r="N230" s="11"/>
    </row>
    <row r="231" spans="14:14">
      <c r="N231" s="11"/>
    </row>
    <row r="232" spans="14:14">
      <c r="N232" s="11"/>
    </row>
    <row r="233" spans="14:14">
      <c r="N233" s="11"/>
    </row>
    <row r="234" spans="14:14">
      <c r="N234" s="11"/>
    </row>
    <row r="235" spans="14:14">
      <c r="N235" s="11"/>
    </row>
    <row r="236" spans="14:14">
      <c r="N236" s="11"/>
    </row>
    <row r="237" spans="14:14">
      <c r="N237" s="11"/>
    </row>
    <row r="238" spans="14:14">
      <c r="N238" s="11"/>
    </row>
    <row r="239" spans="14:14">
      <c r="N239" s="11"/>
    </row>
    <row r="240" spans="14:14">
      <c r="N240" s="11"/>
    </row>
    <row r="241" spans="14:14">
      <c r="N241" s="11"/>
    </row>
    <row r="242" spans="14:14">
      <c r="N242" s="11"/>
    </row>
    <row r="243" spans="14:14">
      <c r="N243" s="11"/>
    </row>
    <row r="244" spans="14:14">
      <c r="N244" s="11"/>
    </row>
    <row r="245" spans="14:14">
      <c r="N245" s="11"/>
    </row>
    <row r="246" spans="14:14">
      <c r="N246" s="11"/>
    </row>
    <row r="247" spans="14:14">
      <c r="N247" s="11"/>
    </row>
    <row r="248" spans="14:14">
      <c r="N248" s="11"/>
    </row>
    <row r="249" spans="14:14">
      <c r="N249" s="11"/>
    </row>
    <row r="250" spans="14:14">
      <c r="N250" s="11"/>
    </row>
    <row r="251" spans="14:14">
      <c r="N251" s="11"/>
    </row>
    <row r="252" spans="14:14">
      <c r="N252" s="11"/>
    </row>
    <row r="253" spans="14:14">
      <c r="N253" s="11"/>
    </row>
    <row r="254" spans="14:14">
      <c r="N254" s="11"/>
    </row>
    <row r="255" spans="14:14">
      <c r="N255" s="11"/>
    </row>
    <row r="256" spans="14:14">
      <c r="N256" s="11"/>
    </row>
    <row r="257" spans="14:14">
      <c r="N257" s="11"/>
    </row>
    <row r="258" spans="14:14">
      <c r="N258" s="11"/>
    </row>
    <row r="259" spans="14:14">
      <c r="N259" s="11"/>
    </row>
    <row r="260" spans="14:14">
      <c r="N260" s="11"/>
    </row>
    <row r="261" spans="14:14">
      <c r="N261" s="11"/>
    </row>
    <row r="262" spans="14:14">
      <c r="N262" s="11"/>
    </row>
    <row r="263" spans="14:14">
      <c r="N263" s="11"/>
    </row>
    <row r="264" spans="14:14">
      <c r="N264" s="11"/>
    </row>
    <row r="265" spans="14:14">
      <c r="N265" s="11"/>
    </row>
  </sheetData>
  <phoneticPr fontId="7" type="noConversion"/>
  <conditionalFormatting sqref="D2:D265">
    <cfRule type="expression" dxfId="3" priority="4">
      <formula>D2="P0"</formula>
    </cfRule>
  </conditionalFormatting>
  <conditionalFormatting sqref="K2:K265">
    <cfRule type="expression" dxfId="2" priority="1">
      <formula>K2="通过"</formula>
    </cfRule>
    <cfRule type="expression" dxfId="1" priority="2">
      <formula>K2="失败"</formula>
    </cfRule>
    <cfRule type="expression" dxfId="0" priority="3">
      <formula>K2="阻塞"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字典!$B$2:$B$5</xm:f>
          </x14:formula1>
          <xm:sqref>D2:D265</xm:sqref>
        </x14:dataValidation>
        <x14:dataValidation type="list" xr:uid="{00000000-0002-0000-0100-000001000000}">
          <x14:formula1>
            <xm:f>字典!$C$2:$C$9</xm:f>
          </x14:formula1>
          <xm:sqref>E2:E265</xm:sqref>
        </x14:dataValidation>
        <x14:dataValidation type="list" xr:uid="{00000000-0002-0000-0100-000002000000}">
          <x14:formula1>
            <xm:f>字典!$A$2:$A$6</xm:f>
          </x14:formula1>
          <xm:sqref>K2:K265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"/>
  <sheetViews>
    <sheetView workbookViewId="0"/>
  </sheetViews>
  <sheetFormatPr baseColWidth="10" defaultColWidth="9" defaultRowHeight="14"/>
  <cols>
    <col min="1" max="4" width="16" customWidth="1"/>
  </cols>
  <sheetData>
    <row r="1" spans="1:15" ht="15">
      <c r="A1" s="7" t="s">
        <v>10</v>
      </c>
      <c r="B1" s="7" t="s">
        <v>21</v>
      </c>
      <c r="C1" s="7" t="s">
        <v>42</v>
      </c>
      <c r="D1" s="7" t="s">
        <v>12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>
      <c r="A2" t="s">
        <v>7</v>
      </c>
      <c r="B2" t="s">
        <v>26</v>
      </c>
      <c r="C2" t="s">
        <v>54</v>
      </c>
      <c r="D2" t="s">
        <v>14</v>
      </c>
    </row>
    <row r="3" spans="1:15">
      <c r="A3" t="s">
        <v>4</v>
      </c>
      <c r="B3" t="s">
        <v>29</v>
      </c>
      <c r="C3" t="s">
        <v>90</v>
      </c>
      <c r="D3" t="s">
        <v>15</v>
      </c>
    </row>
    <row r="4" spans="1:15">
      <c r="A4" t="s">
        <v>5</v>
      </c>
      <c r="B4" t="s">
        <v>32</v>
      </c>
      <c r="C4" t="s">
        <v>97</v>
      </c>
      <c r="D4" t="s">
        <v>16</v>
      </c>
    </row>
    <row r="5" spans="1:15">
      <c r="A5" t="s">
        <v>6</v>
      </c>
      <c r="B5" t="s">
        <v>35</v>
      </c>
      <c r="C5" t="s">
        <v>433</v>
      </c>
      <c r="D5" t="s">
        <v>17</v>
      </c>
    </row>
    <row r="6" spans="1:15">
      <c r="A6" t="s">
        <v>18</v>
      </c>
      <c r="B6" t="s">
        <v>24</v>
      </c>
      <c r="C6" t="s">
        <v>434</v>
      </c>
      <c r="D6" t="s">
        <v>19</v>
      </c>
    </row>
    <row r="7" spans="1:15">
      <c r="A7" t="s">
        <v>24</v>
      </c>
      <c r="B7" t="s">
        <v>24</v>
      </c>
      <c r="C7" t="s">
        <v>376</v>
      </c>
      <c r="D7" t="s">
        <v>20</v>
      </c>
    </row>
    <row r="8" spans="1:15">
      <c r="A8" t="s">
        <v>24</v>
      </c>
      <c r="B8" t="s">
        <v>24</v>
      </c>
      <c r="C8" t="s">
        <v>66</v>
      </c>
      <c r="D8" t="s">
        <v>24</v>
      </c>
    </row>
    <row r="9" spans="1:15">
      <c r="A9" t="s">
        <v>24</v>
      </c>
      <c r="B9" t="s">
        <v>24</v>
      </c>
      <c r="C9" t="s">
        <v>139</v>
      </c>
      <c r="D9" t="s">
        <v>24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F22" sqref="F22"/>
    </sheetView>
  </sheetViews>
  <sheetFormatPr baseColWidth="10" defaultColWidth="9" defaultRowHeight="14"/>
  <cols>
    <col min="1" max="1" width="20.1640625" customWidth="1"/>
    <col min="2" max="2" width="18" customWidth="1"/>
    <col min="3" max="3" width="17.5" customWidth="1"/>
    <col min="4" max="4" width="23.1640625" customWidth="1"/>
    <col min="5" max="5" width="26.5" customWidth="1"/>
    <col min="6" max="6" width="59.33203125" customWidth="1"/>
  </cols>
  <sheetData>
    <row r="1" spans="1:6" ht="16">
      <c r="A1" s="1" t="s">
        <v>435</v>
      </c>
      <c r="B1" s="2" t="s">
        <v>436</v>
      </c>
      <c r="C1" s="2" t="s">
        <v>9</v>
      </c>
      <c r="D1" s="2" t="s">
        <v>437</v>
      </c>
      <c r="E1" s="2" t="s">
        <v>438</v>
      </c>
      <c r="F1" s="1" t="s">
        <v>439</v>
      </c>
    </row>
    <row r="2" spans="1:6" ht="16">
      <c r="A2" s="1" t="s">
        <v>440</v>
      </c>
      <c r="B2" s="3">
        <v>15</v>
      </c>
      <c r="C2" s="4">
        <v>1</v>
      </c>
      <c r="D2" s="5">
        <v>0.9</v>
      </c>
      <c r="E2" s="5">
        <v>0.68</v>
      </c>
      <c r="F2" s="6" t="s">
        <v>441</v>
      </c>
    </row>
    <row r="3" spans="1:6" ht="16">
      <c r="A3" s="1" t="s">
        <v>442</v>
      </c>
      <c r="B3" s="3">
        <v>40</v>
      </c>
      <c r="C3" s="4">
        <v>1</v>
      </c>
      <c r="D3" s="5">
        <v>0.68</v>
      </c>
      <c r="E3" s="5">
        <v>0.4</v>
      </c>
      <c r="F3" s="6" t="s">
        <v>443</v>
      </c>
    </row>
    <row r="4" spans="1:6" ht="16">
      <c r="A4" s="1" t="s">
        <v>444</v>
      </c>
      <c r="B4" s="3">
        <v>15</v>
      </c>
      <c r="C4" s="4">
        <v>1</v>
      </c>
      <c r="D4" s="5">
        <v>0.6</v>
      </c>
      <c r="E4" s="5">
        <v>0.32</v>
      </c>
      <c r="F4" s="6" t="s">
        <v>445</v>
      </c>
    </row>
    <row r="5" spans="1:6" ht="32">
      <c r="A5" s="1" t="s">
        <v>446</v>
      </c>
      <c r="B5" s="3">
        <v>8</v>
      </c>
      <c r="C5" s="4">
        <v>1</v>
      </c>
      <c r="D5" s="5">
        <v>0.55000000000000004</v>
      </c>
      <c r="E5" s="5">
        <v>0.52</v>
      </c>
      <c r="F5" s="6" t="s">
        <v>447</v>
      </c>
    </row>
    <row r="6" spans="1:6" ht="16">
      <c r="A6" s="1" t="s">
        <v>448</v>
      </c>
      <c r="B6" s="3">
        <v>14</v>
      </c>
      <c r="C6" s="4">
        <v>1</v>
      </c>
      <c r="D6" s="5">
        <v>0.42</v>
      </c>
      <c r="E6" s="5">
        <v>0.27</v>
      </c>
      <c r="F6" s="6" t="s">
        <v>449</v>
      </c>
    </row>
    <row r="7" spans="1:6" ht="16">
      <c r="A7" s="1" t="s">
        <v>450</v>
      </c>
      <c r="B7" s="3">
        <v>13</v>
      </c>
      <c r="C7" s="4">
        <v>1</v>
      </c>
      <c r="D7" s="5">
        <v>0.37</v>
      </c>
      <c r="E7" s="5">
        <v>0.2</v>
      </c>
      <c r="F7" s="6" t="s">
        <v>451</v>
      </c>
    </row>
  </sheetData>
  <phoneticPr fontId="7" type="noConversion"/>
  <hyperlinks>
    <hyperlink ref="A2" r:id="rId1" tooltip="file:///E:/Projects/smart-canteen/backend/gateway-service/target/site/jacoco/index.html" xr:uid="{00000000-0004-0000-0300-000000000000}"/>
    <hyperlink ref="A3" r:id="rId2" tooltip="file:///E:/Projects/smart-canteen/backend/order-service/target/site/jacoco/index.html" xr:uid="{00000000-0004-0000-0300-000001000000}"/>
    <hyperlink ref="A4" r:id="rId3" tooltip="file:///E:/Projects/smart-canteen/backend/user-service/target/site/jacoco/index.html" xr:uid="{00000000-0004-0000-0300-000002000000}"/>
    <hyperlink ref="A5" r:id="rId4" tooltip="file:///E:/Projects/smart-canteen/backend/smart-canteen-common/target/site/jacoco/index.html" xr:uid="{00000000-0004-0000-0300-000003000000}"/>
    <hyperlink ref="A6" r:id="rId5" tooltip="file:///E:/Projects/smart-canteen/backend/pickup-service/target/site/jacoco/index.html" xr:uid="{00000000-0004-0000-0300-000004000000}"/>
    <hyperlink ref="A7" r:id="rId6" tooltip="file:///E:/Projects/smart-canteen/backend/menu-service/target/site/jacoco/index.html" xr:uid="{00000000-0004-0000-0300-000005000000}"/>
  </hyperlinks>
  <pageMargins left="0.75" right="0.75" top="1" bottom="1" header="0.5" footer="0.5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看板</vt:lpstr>
      <vt:lpstr>总用例</vt:lpstr>
      <vt:lpstr>字典</vt:lpstr>
      <vt:lpstr>微服务测试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佳挺 钟</cp:lastModifiedBy>
  <dcterms:created xsi:type="dcterms:W3CDTF">2026-05-30T22:41:00Z</dcterms:created>
  <dcterms:modified xsi:type="dcterms:W3CDTF">2026-05-30T17:33:48Z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F0A9D8D4AA8B019ED5BC1A6A8F3DC3CE_42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