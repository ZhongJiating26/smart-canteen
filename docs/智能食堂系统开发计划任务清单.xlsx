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smart-canteen\docs\"/>
    </mc:Choice>
  </mc:AlternateContent>
  <xr:revisionPtr revIDLastSave="0" documentId="13_ncr:1_{0DCB2EC5-D29B-4C89-9583-BC5BB6B999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总览" sheetId="1" r:id="rId1"/>
    <sheet name="任务清单" sheetId="2" r:id="rId2"/>
    <sheet name="关键流程检查" sheetId="3" r:id="rId3"/>
    <sheet name="使用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E27" i="1"/>
  <c r="C27" i="1"/>
  <c r="B27" i="1"/>
  <c r="G26" i="1"/>
  <c r="F26" i="1"/>
  <c r="E26" i="1"/>
  <c r="C26" i="1"/>
  <c r="D26" i="1" s="1"/>
  <c r="B26" i="1"/>
  <c r="G25" i="1"/>
  <c r="F25" i="1"/>
  <c r="E25" i="1"/>
  <c r="C25" i="1"/>
  <c r="B25" i="1"/>
  <c r="G24" i="1"/>
  <c r="F24" i="1"/>
  <c r="E24" i="1"/>
  <c r="C24" i="1"/>
  <c r="B24" i="1"/>
  <c r="G23" i="1"/>
  <c r="F23" i="1"/>
  <c r="E23" i="1"/>
  <c r="C23" i="1"/>
  <c r="B23" i="1"/>
  <c r="G22" i="1"/>
  <c r="F22" i="1"/>
  <c r="E22" i="1"/>
  <c r="C22" i="1"/>
  <c r="D22" i="1" s="1"/>
  <c r="B22" i="1"/>
  <c r="G21" i="1"/>
  <c r="F21" i="1"/>
  <c r="E21" i="1"/>
  <c r="C21" i="1"/>
  <c r="B21" i="1"/>
  <c r="G20" i="1"/>
  <c r="F20" i="1"/>
  <c r="E20" i="1"/>
  <c r="C20" i="1"/>
  <c r="D20" i="1" s="1"/>
  <c r="B20" i="1"/>
  <c r="G19" i="1"/>
  <c r="F19" i="1"/>
  <c r="E19" i="1"/>
  <c r="C19" i="1"/>
  <c r="B19" i="1"/>
  <c r="G18" i="1"/>
  <c r="F18" i="1"/>
  <c r="E18" i="1"/>
  <c r="C18" i="1"/>
  <c r="D18" i="1" s="1"/>
  <c r="B18" i="1"/>
  <c r="G17" i="1"/>
  <c r="F17" i="1"/>
  <c r="E17" i="1"/>
  <c r="C17" i="1"/>
  <c r="B17" i="1"/>
  <c r="G16" i="1"/>
  <c r="F16" i="1"/>
  <c r="E16" i="1"/>
  <c r="C16" i="1"/>
  <c r="D16" i="1" s="1"/>
  <c r="B16" i="1"/>
  <c r="G15" i="1"/>
  <c r="F15" i="1"/>
  <c r="E15" i="1"/>
  <c r="C15" i="1"/>
  <c r="B15" i="1"/>
  <c r="G14" i="1"/>
  <c r="F14" i="1"/>
  <c r="E14" i="1"/>
  <c r="C14" i="1"/>
  <c r="D14" i="1" s="1"/>
  <c r="B14" i="1"/>
  <c r="G13" i="1"/>
  <c r="F13" i="1"/>
  <c r="E13" i="1"/>
  <c r="C13" i="1"/>
  <c r="B13" i="1"/>
  <c r="B8" i="1"/>
  <c r="B7" i="1"/>
  <c r="B6" i="1"/>
  <c r="B5" i="1"/>
  <c r="B4" i="1"/>
  <c r="B9" i="1" l="1"/>
  <c r="D25" i="1"/>
  <c r="D13" i="1"/>
  <c r="D19" i="1"/>
  <c r="D27" i="1"/>
  <c r="D21" i="1"/>
  <c r="D24" i="1"/>
  <c r="D15" i="1"/>
  <c r="D17" i="1"/>
  <c r="D23" i="1"/>
</calcChain>
</file>

<file path=xl/sharedStrings.xml><?xml version="1.0" encoding="utf-8"?>
<sst xmlns="http://schemas.openxmlformats.org/spreadsheetml/2006/main" count="1680" uniqueCount="852">
  <si>
    <t>智能食堂系统开发任务总览</t>
  </si>
  <si>
    <t>指标</t>
  </si>
  <si>
    <t>数值</t>
  </si>
  <si>
    <t>说明</t>
  </si>
  <si>
    <t>使用方式</t>
  </si>
  <si>
    <t>总任务数</t>
  </si>
  <si>
    <t>任务清单中的全部任务</t>
  </si>
  <si>
    <t>1. 在“任务清单”中找到当前任务。
2. 完成后将“完成”列改为 ☑，并把“状态”改为 已完成。
3. 遇到问题时把“状态”改为 阻塞，并在备注中写原因。
4. “总览”页会自动统计整体进度和各阶段完成率。</t>
  </si>
  <si>
    <t>已打勾任务</t>
  </si>
  <si>
    <t>完成列为 ☑</t>
  </si>
  <si>
    <t>状态为已完成</t>
  </si>
  <si>
    <t>状态列为已完成</t>
  </si>
  <si>
    <t>进行中任务</t>
  </si>
  <si>
    <t>状态列为进行中</t>
  </si>
  <si>
    <t>阻塞任务</t>
  </si>
  <si>
    <t>状态列为阻塞</t>
  </si>
  <si>
    <t>整体完成率</t>
  </si>
  <si>
    <t>按打勾任务计算</t>
  </si>
  <si>
    <t>阶段</t>
  </si>
  <si>
    <t>总任务</t>
  </si>
  <si>
    <t>已打勾</t>
  </si>
  <si>
    <t>完成率</t>
  </si>
  <si>
    <t>进行中</t>
  </si>
  <si>
    <t>阻塞</t>
  </si>
  <si>
    <t>高优先级</t>
  </si>
  <si>
    <t>0 项目准备</t>
  </si>
  <si>
    <t>1 本地开发环境</t>
  </si>
  <si>
    <t>2 数据库与基础组件</t>
  </si>
  <si>
    <t>3 后端工程骨架</t>
  </si>
  <si>
    <t>4 公共模块</t>
  </si>
  <si>
    <t>5 用户服务</t>
  </si>
  <si>
    <t>6 菜品菜单服务</t>
  </si>
  <si>
    <t>7 取餐排队服务</t>
  </si>
  <si>
    <t>8 订单服务</t>
  </si>
  <si>
    <t>9 网关服务</t>
  </si>
  <si>
    <t>10 中间件联调</t>
  </si>
  <si>
    <t>11 前端开发</t>
  </si>
  <si>
    <t>12 测试与修复</t>
  </si>
  <si>
    <t>13 容器化与部署</t>
  </si>
  <si>
    <t>14 验收与答辩</t>
  </si>
  <si>
    <t>ID</t>
  </si>
  <si>
    <t>分类</t>
  </si>
  <si>
    <t>子任务</t>
  </si>
  <si>
    <t>具体要做</t>
  </si>
  <si>
    <t>前置依赖</t>
  </si>
  <si>
    <t>验收标准</t>
  </si>
  <si>
    <t>优先级</t>
  </si>
  <si>
    <t>预计工时(h)</t>
  </si>
  <si>
    <t>完成</t>
  </si>
  <si>
    <t>状态</t>
  </si>
  <si>
    <t>计划开始</t>
  </si>
  <si>
    <t>计划结束</t>
  </si>
  <si>
    <t>实际完成</t>
  </si>
  <si>
    <t>备注</t>
  </si>
  <si>
    <t>范围确认</t>
  </si>
  <si>
    <t>固定最低可交付范围</t>
  </si>
  <si>
    <t>确认必须交付用户/菜单/订单/取餐/网关/四端前端/K3S部署；不做真实支付、一卡通、优惠券等扩展</t>
  </si>
  <si>
    <t>需求规格说明书、概要设计</t>
  </si>
  <si>
    <t>形成 README 中的 MVP 范围清单</t>
  </si>
  <si>
    <t>高</t>
  </si>
  <si>
    <t>☑</t>
  </si>
  <si>
    <t>已完成</t>
  </si>
  <si>
    <t>仓库初始化</t>
  </si>
  <si>
    <t>创建 Git 仓库</t>
  </si>
  <si>
    <t>建立 backend、frontend、deploy、docs 目录；设置 .gitignore；首次提交</t>
  </si>
  <si>
    <t>无</t>
  </si>
  <si>
    <t>仓库结构清晰，可正常提交代码</t>
  </si>
  <si>
    <t>规范制定</t>
  </si>
  <si>
    <t>提交规范与分支策略</t>
  </si>
  <si>
    <t>确定 feat/fix/docs/test/refactor/chore 提交前缀；main/dev 分支策略</t>
  </si>
  <si>
    <t>Git 仓库</t>
  </si>
  <si>
    <t>README 中记录规范</t>
  </si>
  <si>
    <t>任务管理</t>
  </si>
  <si>
    <t>建立开发看板</t>
  </si>
  <si>
    <t>按本表阶段建立任务，看板可选 GitHub Issues/本 Excel</t>
  </si>
  <si>
    <t>开发计划</t>
  </si>
  <si>
    <t>任务可追踪、可打勾</t>
  </si>
  <si>
    <t>演示规划</t>
  </si>
  <si>
    <t>确定演示主流程</t>
  </si>
  <si>
    <t>MVP 范围</t>
  </si>
  <si>
    <t>有一条完整演示脚本草稿</t>
  </si>
  <si>
    <t>☐</t>
  </si>
  <si>
    <t>暂缓</t>
  </si>
  <si>
    <t>基础工具</t>
  </si>
  <si>
    <t>安装 JDK 17</t>
  </si>
  <si>
    <t>安装并配置 JAVA_HOME；IDEA 能识别 JDK</t>
  </si>
  <si>
    <t>java -version 显示 17</t>
  </si>
  <si>
    <t>安装 Maven 3.9+</t>
  </si>
  <si>
    <t>配置本地仓库和镜像源</t>
  </si>
  <si>
    <t>JDK</t>
  </si>
  <si>
    <t>mvn -v 正常</t>
  </si>
  <si>
    <t>前端工具</t>
  </si>
  <si>
    <t>安装 Node.js 20+ 与 pnpm</t>
  </si>
  <si>
    <t>配置包管理器和镜像源</t>
  </si>
  <si>
    <t>node -v、pnpm -v 正常</t>
  </si>
  <si>
    <t>容器工具</t>
  </si>
  <si>
    <t>安装 Docker</t>
  </si>
  <si>
    <t>Docker Desktop 或 Linux Docker Engine 可用</t>
  </si>
  <si>
    <t>docker ps 正常</t>
  </si>
  <si>
    <t>数据库工具</t>
  </si>
  <si>
    <t>安装 DBeaver/Navicat</t>
  </si>
  <si>
    <t>能连接本地 MySQL 容器</t>
  </si>
  <si>
    <t>Docker/MySQL</t>
  </si>
  <si>
    <t>能查看数据库和表</t>
  </si>
  <si>
    <t>接口工具</t>
  </si>
  <si>
    <t>安装 Apifox/Postman</t>
  </si>
  <si>
    <t>建立接口项目和环境变量 gateway_base_url</t>
  </si>
  <si>
    <t>能发起测试请求</t>
  </si>
  <si>
    <t>K8S 工具</t>
  </si>
  <si>
    <t>安装 kubectl/Lens</t>
  </si>
  <si>
    <t>为后续 K3S 部署准备管理工具</t>
  </si>
  <si>
    <t>kubectl version 可用</t>
  </si>
  <si>
    <t>Docker Compose</t>
  </si>
  <si>
    <t>编写基础组件 compose</t>
  </si>
  <si>
    <t>创建 MySQL、Redis、Nacos、RocketMQ、Seata 的 docker-compose.yml</t>
  </si>
  <si>
    <t>Docker</t>
  </si>
  <si>
    <t>docker compose up 能启动全部组件</t>
  </si>
  <si>
    <t>MySQL</t>
  </si>
  <si>
    <t>启动 MySQL 8</t>
  </si>
  <si>
    <t>设置 root 密码、端口、数据卷；确认远程连接</t>
  </si>
  <si>
    <t>DBeaver 能连接 MySQL</t>
  </si>
  <si>
    <t>Redis</t>
  </si>
  <si>
    <t>启动 Redis 7</t>
  </si>
  <si>
    <t>配置端口和密码；确认可连接</t>
  </si>
  <si>
    <t>redis-cli ping 返回 PONG</t>
  </si>
  <si>
    <t>Nacos</t>
  </si>
  <si>
    <t>启动 Nacos</t>
  </si>
  <si>
    <t>使用单机模式启动；打开控制台</t>
  </si>
  <si>
    <t>Nacos 控制台可访问</t>
  </si>
  <si>
    <t>RocketMQ</t>
  </si>
  <si>
    <t>启动 NameServer/Broker/Dashboard</t>
  </si>
  <si>
    <t>确认 Broker 注册到 NameServer；Dashboard 可查看</t>
  </si>
  <si>
    <t>Dashboard 显示 broker</t>
  </si>
  <si>
    <t>Seata</t>
  </si>
  <si>
    <t>启动 Seata Server</t>
  </si>
  <si>
    <t>配置注册中心/事务存储；确认服务启动</t>
  </si>
  <si>
    <t>MySQL/Nacos</t>
  </si>
  <si>
    <t>Seata 无启动错误</t>
  </si>
  <si>
    <t>数据库</t>
  </si>
  <si>
    <t>创建四个业务库</t>
  </si>
  <si>
    <t>创建 user_db、menu_db、order_db、pickup_db，统一 utf8mb4</t>
  </si>
  <si>
    <t>四个数据库存在</t>
  </si>
  <si>
    <t>SQL 脚本</t>
  </si>
  <si>
    <t>编写 user_db.sql</t>
  </si>
  <si>
    <t>创建 user、login_log、refresh_token 等表</t>
  </si>
  <si>
    <t>数据库设计</t>
  </si>
  <si>
    <t>SQL 可重复执行或明确初始化顺序</t>
  </si>
  <si>
    <t>编写 menu_db.sql</t>
  </si>
  <si>
    <t>表结构与详细设计一致</t>
  </si>
  <si>
    <t>编写 order_db.sql</t>
  </si>
  <si>
    <t>创建 food_order/order_item/order_status_log/config 等表；避免 order 关键字问题</t>
  </si>
  <si>
    <t>订单表可正常增删查改</t>
  </si>
  <si>
    <t>编写 pickup_db.sql</t>
  </si>
  <si>
    <t>创建取餐号、二维码、制作中/待取餐队列、叫号、核销等表</t>
  </si>
  <si>
    <t>队列表和二维码表存在唯一索引</t>
  </si>
  <si>
    <t>添加 undo_log</t>
  </si>
  <si>
    <t>为 order_db 和 menu_db 添加 undo_log 表</t>
  </si>
  <si>
    <t>Seata AT</t>
  </si>
  <si>
    <t>Seata 事务库具备 undo_log</t>
  </si>
  <si>
    <t>初始化数据</t>
  </si>
  <si>
    <t>插入测试账号和基础业务数据</t>
  </si>
  <si>
    <t>四个业务库</t>
  </si>
  <si>
    <t>可用于完整演示流程</t>
  </si>
  <si>
    <t>Maven</t>
  </si>
  <si>
    <t>创建父工程 smart-canteen</t>
  </si>
  <si>
    <t>统一管理 Spring Boot、Spring Cloud、SCA、MyBatis-Plus、Knife4j 等版本</t>
  </si>
  <si>
    <t>JDK/Maven</t>
  </si>
  <si>
    <t>父工程 mvn clean package 通过</t>
  </si>
  <si>
    <t>package通过，健康接口检查通过，成功注册到nacos</t>
  </si>
  <si>
    <t>模块</t>
  </si>
  <si>
    <t>创建 common 模块</t>
  </si>
  <si>
    <t>创建公共 DTO、异常、枚举、工具类基础目录</t>
  </si>
  <si>
    <t>父工程</t>
  </si>
  <si>
    <t>common 模块可被其他服务引用</t>
  </si>
  <si>
    <t>创建 user-service</t>
  </si>
  <si>
    <t>配置端口 9001、Nacos、MySQL、Redis、Knife4j</t>
  </si>
  <si>
    <t>父工程/Nacos/MySQL</t>
  </si>
  <si>
    <t>服务启动并注册到 Nacos</t>
  </si>
  <si>
    <t>创建 menu-service</t>
  </si>
  <si>
    <t>配置端口 9002、Nacos、MySQL、Redis、MyBatis-Plus</t>
  </si>
  <si>
    <t>创建 order-service</t>
  </si>
  <si>
    <t>配置端口 9003、Nacos、MySQL、Redis、Feign、RocketMQ、Seata 依赖</t>
  </si>
  <si>
    <t>创建 pickup-service</t>
  </si>
  <si>
    <t>配置端口 9004、Nacos、MySQL、Redis、WebSocket</t>
  </si>
  <si>
    <t>创建 gateway-service</t>
  </si>
  <si>
    <t>配置端口 9000、Gateway、Nacos、Redis</t>
  </si>
  <si>
    <t>父工程/Nacos/Redis</t>
  </si>
  <si>
    <t>文档</t>
  </si>
  <si>
    <t>整理本地启动脚本</t>
  </si>
  <si>
    <t>编写 start-local.md 或 README：基础组件和服务启动顺序</t>
  </si>
  <si>
    <t>所有服务骨架</t>
  </si>
  <si>
    <t>新环境可照文档启动</t>
  </si>
  <si>
    <t>未开始</t>
  </si>
  <si>
    <t>统一响应</t>
  </si>
  <si>
    <t>实现 Result&lt;T&gt; 和 PageResult&lt;T&gt;</t>
  </si>
  <si>
    <t>封装 code/message/data、分页 records/total/size/current</t>
  </si>
  <si>
    <t>common 模块</t>
  </si>
  <si>
    <t>各服务能直接使用统一响应</t>
  </si>
  <si>
    <t>错误体系</t>
  </si>
  <si>
    <t>实现错误码枚举</t>
  </si>
  <si>
    <t>定义 UNAUTHORIZED、FORBIDDEN、INVALID_STOCK、ORDER_EXPIRED 等错误码</t>
  </si>
  <si>
    <t>详细设计错误码</t>
  </si>
  <si>
    <t>错误码命名统一</t>
  </si>
  <si>
    <t>异常处理</t>
  </si>
  <si>
    <t>实现通用异常类</t>
  </si>
  <si>
    <t>BusinessException、UnauthorizedException、ForbiddenException、DuplicateSubmissionException</t>
  </si>
  <si>
    <t>错误码</t>
  </si>
  <si>
    <t>服务能抛业务异常</t>
  </si>
  <si>
    <t>枚举</t>
  </si>
  <si>
    <t>实现业务枚举</t>
  </si>
  <si>
    <t>RoleEnum、OrderStatus、MealPeriod、CallType、VerifyType、InventoryChangeType、ResetRule</t>
  </si>
  <si>
    <t>详细设计</t>
  </si>
  <si>
    <t>枚举值与数据库一致</t>
  </si>
  <si>
    <t>JWT</t>
  </si>
  <si>
    <t>实现 JwtUtil</t>
  </si>
  <si>
    <t>支持生成/解析 access_token、refresh_token、jti、userId、role、username</t>
  </si>
  <si>
    <t>jjwt 依赖</t>
  </si>
  <si>
    <t>单元测试通过</t>
  </si>
  <si>
    <t>上下文</t>
  </si>
  <si>
    <t>实现 UserContextHolder</t>
  </si>
  <si>
    <t>从 Header 读取 X-User-Id、X-User-Role、X-Username</t>
  </si>
  <si>
    <t>网关约定</t>
  </si>
  <si>
    <t>业务服务可获取当前用户</t>
  </si>
  <si>
    <t>工具</t>
  </si>
  <si>
    <t>实现 ID 和时间工具</t>
  </si>
  <si>
    <t>雪花 ID 或替代 ID 生成、时间格式化、金额处理工具</t>
  </si>
  <si>
    <t>各服务复用</t>
  </si>
  <si>
    <t>全局异常</t>
  </si>
  <si>
    <t>提供异常处理基类或示例</t>
  </si>
  <si>
    <t>各服务可复制/引用 ControllerAdvice 逻辑</t>
  </si>
  <si>
    <t>异常类</t>
  </si>
  <si>
    <t>异常返回结构统一</t>
  </si>
  <si>
    <t>实体映射</t>
  </si>
  <si>
    <t>创建 User/LoginLog/RefreshToken 实体与 Mapper</t>
  </si>
  <si>
    <t>完成 MyBatis-Plus 注解、字段映射、基础 CRUD</t>
  </si>
  <si>
    <t>user_db 表</t>
  </si>
  <si>
    <t>Mapper 单测或启动检查通过</t>
  </si>
  <si>
    <t>验证码</t>
  </si>
  <si>
    <t>实现发送验证码接口</t>
  </si>
  <si>
    <t>POST /api/user/send-code；固定验证码 123456；Redis TTL 5 分钟；60 秒频控</t>
  </si>
  <si>
    <t>验证码写入 Redis</t>
  </si>
  <si>
    <t>注册</t>
  </si>
  <si>
    <t>实现注册接口</t>
  </si>
  <si>
    <t>校验唯一性、验证码、密码强度；BCrypt 保存登录密码；保存支付密码模拟值</t>
  </si>
  <si>
    <t>验证码/数据库</t>
  </si>
  <si>
    <t>新用户可注册</t>
  </si>
  <si>
    <t>登录</t>
  </si>
  <si>
    <t>实现密码登录</t>
  </si>
  <si>
    <t>校验账号、密码、状态；签发 access_token 和 refresh_token；写 login_log</t>
  </si>
  <si>
    <t>JwtUtil/User 表</t>
  </si>
  <si>
    <t>登录返回 token 和 userInfo</t>
  </si>
  <si>
    <t>实现验证码登录</t>
  </si>
  <si>
    <t>校验 Redis 验证码；成功后签发双 Token</t>
  </si>
  <si>
    <t>验证码接口</t>
  </si>
  <si>
    <t>验证码登录成功</t>
  </si>
  <si>
    <t>Token</t>
  </si>
  <si>
    <t>实现 Token 刷新</t>
  </si>
  <si>
    <t>校验 refresh_token；旧 token 入黑名单；旧 refresh_token 失效；签发新 Token</t>
  </si>
  <si>
    <t>登录功能</t>
  </si>
  <si>
    <t>刷新接口可用</t>
  </si>
  <si>
    <t>实现登出</t>
  </si>
  <si>
    <t>当前 access_token jti 加入黑名单，refresh_token 失效</t>
  </si>
  <si>
    <t>登出后原 token 不可用</t>
  </si>
  <si>
    <t>用户资料</t>
  </si>
  <si>
    <t>实现个人信息查询/修改</t>
  </si>
  <si>
    <t>GET/PUT /api/user/profile；支持昵称、头像、手机号等字段</t>
  </si>
  <si>
    <t>JWT 上下文</t>
  </si>
  <si>
    <t>用户只能改自己资料</t>
  </si>
  <si>
    <t>支付密码</t>
  </si>
  <si>
    <t>实现支付密码验证 Feign 接口</t>
  </si>
  <si>
    <t>POST /api/user/verify-pay-password；错误 5 次锁 30 分钟</t>
  </si>
  <si>
    <t>Redis/User 表</t>
  </si>
  <si>
    <t>order-service 可调用</t>
  </si>
  <si>
    <t>管理端</t>
  </si>
  <si>
    <t>实现用户管理接口</t>
  </si>
  <si>
    <t>管理员用户列表、详情、启禁用、重置密码</t>
  </si>
  <si>
    <t>ADMIN 权限</t>
  </si>
  <si>
    <t>管理端可维护用户</t>
  </si>
  <si>
    <t>接口文档</t>
  </si>
  <si>
    <t>接入 Knife4j 注解</t>
  </si>
  <si>
    <t>为主要接口添加说明、参数、响应示例</t>
  </si>
  <si>
    <t>接口完成</t>
  </si>
  <si>
    <t>接口文档可查看</t>
  </si>
  <si>
    <t>测试</t>
  </si>
  <si>
    <t>完成 user-service 测试</t>
  </si>
  <si>
    <t>注册、登录、刷新、黑名单、支付密码锁定测试</t>
  </si>
  <si>
    <t>功能完成</t>
  </si>
  <si>
    <t>测试通过</t>
  </si>
  <si>
    <t>完成表映射、索引字段、逻辑删除字段</t>
  </si>
  <si>
    <t>menu_db 表</t>
  </si>
  <si>
    <t>Mapper 可正常访问</t>
  </si>
  <si>
    <t>GET/POST /api/menu/categories；商家只能管理自己的分类</t>
  </si>
  <si>
    <t>商家账号</t>
  </si>
  <si>
    <t>分类新增和查询成功</t>
  </si>
  <si>
    <t>菜品</t>
  </si>
  <si>
    <t>实现菜品 CRUD</t>
  </si>
  <si>
    <t>菜品列表、详情、新增、修改、删除/停用；支持商家归属校验</t>
  </si>
  <si>
    <t>分类功能</t>
  </si>
  <si>
    <t>菜品可维护</t>
  </si>
  <si>
    <t>图片</t>
  </si>
  <si>
    <t>实现菜品图片上传/获取</t>
  </si>
  <si>
    <t>multipart 上传图片入 MySQL BLOB；GET 返回图片流</t>
  </si>
  <si>
    <t>菜品功能</t>
  </si>
  <si>
    <t>图片可显示</t>
  </si>
  <si>
    <t>每日菜单</t>
  </si>
  <si>
    <t>实现每日菜单发布</t>
  </si>
  <si>
    <t>菜单发布成功</t>
  </si>
  <si>
    <t>实现菜单项维护</t>
  </si>
  <si>
    <t>菜单项可修改</t>
  </si>
  <si>
    <t>用户浏览</t>
  </si>
  <si>
    <t>实现可售菜单接口</t>
  </si>
  <si>
    <t>用户可看到当前可售菜品</t>
  </si>
  <si>
    <t>库存</t>
  </si>
  <si>
    <t>实现库存预占接口</t>
  </si>
  <si>
    <t>POST /api/menu/inventory/reserve；原子扣 remaining、加 reserved</t>
  </si>
  <si>
    <t>可售菜单</t>
  </si>
  <si>
    <t>库存不足时失败</t>
  </si>
  <si>
    <t>实现库存恢复接口</t>
  </si>
  <si>
    <t>POST /api/menu/inventory/release；幂等恢复库存</t>
  </si>
  <si>
    <t>订单取消场景</t>
  </si>
  <si>
    <t>重复调用不重复恢复</t>
  </si>
  <si>
    <t>实现库存消费接口</t>
  </si>
  <si>
    <t>POST /api/menu/inventory/consume；核销后 reserved 减少</t>
  </si>
  <si>
    <t>核销完成场景</t>
  </si>
  <si>
    <t>重复调用不重复消费</t>
  </si>
  <si>
    <t>库存预警</t>
  </si>
  <si>
    <t>实现库存预警查询</t>
  </si>
  <si>
    <t>查询 remaining_stock &lt;= alert_threshold 的菜品</t>
  </si>
  <si>
    <t>库存数据</t>
  </si>
  <si>
    <t>商家能看到低库存</t>
  </si>
  <si>
    <t>user-service Feign 可选</t>
  </si>
  <si>
    <t>配置</t>
  </si>
  <si>
    <t>实现菜单/库存配置接口</t>
  </si>
  <si>
    <t>读取和修改 stock_alert_scan_interval 等配置</t>
  </si>
  <si>
    <t>config 表/Redis</t>
  </si>
  <si>
    <t>配置修改即时生效</t>
  </si>
  <si>
    <t>完成 menu-service 测试</t>
  </si>
  <si>
    <t>菜单发布、可售查询、库存预占/恢复/消费幂等测试</t>
  </si>
  <si>
    <t>创建取餐号/二维码/队列/叫号/核销实体与 Mapper</t>
  </si>
  <si>
    <t>完成 pickup_db 表映射</t>
  </si>
  <si>
    <t>pickup_db 表</t>
  </si>
  <si>
    <t>Mapper 正常</t>
  </si>
  <si>
    <t>取餐号</t>
  </si>
  <si>
    <t>实现取餐号生成算法</t>
  </si>
  <si>
    <t>A001 到 Z999；支持 NONE/DAILY/WEEKLY 重置；Redis 锁防并发</t>
  </si>
  <si>
    <t>pickup_number_sequence</t>
  </si>
  <si>
    <t>并发下不重复</t>
  </si>
  <si>
    <t>制作中队列</t>
  </si>
  <si>
    <t>实现入制作中内部接口</t>
  </si>
  <si>
    <t>POST /api/pickup/internal/enqueue-preparing；生成取餐号并入队</t>
  </si>
  <si>
    <t>取餐号算法</t>
  </si>
  <si>
    <t>接单后队列新增</t>
  </si>
  <si>
    <t>待取餐队列</t>
  </si>
  <si>
    <t>实现入待取餐内部接口</t>
  </si>
  <si>
    <t>生成二维码、从制作中移除、加入待取餐、自动叫号</t>
  </si>
  <si>
    <t>出餐后队列移动成功</t>
  </si>
  <si>
    <t>队列移除</t>
  </si>
  <si>
    <t>实现移除队列内部接口</t>
  </si>
  <si>
    <t>订单取消时从制作中或待取餐队列删除</t>
  </si>
  <si>
    <t>队列表</t>
  </si>
  <si>
    <t>取消后大屏不再显示</t>
  </si>
  <si>
    <t>队列查询</t>
  </si>
  <si>
    <t>实现制作中/待取餐查询</t>
  </si>
  <si>
    <t>Redis/DB</t>
  </si>
  <si>
    <t>公开接口不暴露 orderId</t>
  </si>
  <si>
    <t>快照</t>
  </si>
  <si>
    <t>实现大屏快照接口</t>
  </si>
  <si>
    <t>队列表/叫号表</t>
  </si>
  <si>
    <t>断线恢复可用</t>
  </si>
  <si>
    <t>二维码</t>
  </si>
  <si>
    <t>实现取餐二维码查询</t>
  </si>
  <si>
    <t>GET /api/pickup/qrcode/{orderId}；用户查看二维码内容和取餐码</t>
  </si>
  <si>
    <t>二维码表</t>
  </si>
  <si>
    <t>READY 订单可查二维码</t>
  </si>
  <si>
    <t>叫号</t>
  </si>
  <si>
    <t>实现手动叫号</t>
  </si>
  <si>
    <t>POST /api/pickup/call；只允许待取餐队列订单</t>
  </si>
  <si>
    <t>生成 MANUAL call_event</t>
  </si>
  <si>
    <t>核销</t>
  </si>
  <si>
    <t>实现取餐核销</t>
  </si>
  <si>
    <t>二维码/订单内部接口</t>
  </si>
  <si>
    <t>核销后二维码失效</t>
  </si>
  <si>
    <t>WebSocket</t>
  </si>
  <si>
    <t>实现大屏 WebSocket</t>
  </si>
  <si>
    <t>队列变更逻辑</t>
  </si>
  <si>
    <t>大屏能实时刷新</t>
  </si>
  <si>
    <t>恢复</t>
  </si>
  <si>
    <t>实现 Redis 队列恢复</t>
  </si>
  <si>
    <t>Redis 缓存未命中时从 MySQL 重建</t>
  </si>
  <si>
    <t>清空 Redis 后队列仍可查</t>
  </si>
  <si>
    <t>完成 pickup-service 测试</t>
  </si>
  <si>
    <t>取餐号、重复入队、出餐、叫号、核销、缓存恢复测试</t>
  </si>
  <si>
    <t>创建订单/明细/状态日志实体与 Mapper</t>
  </si>
  <si>
    <t>建议表名 food_order，避免 order 关键字</t>
  </si>
  <si>
    <t>order_db 表</t>
  </si>
  <si>
    <t>Feign</t>
  </si>
  <si>
    <t>定义 Feign 客户端</t>
  </si>
  <si>
    <t>UserFeignClient、MenuFeignClient、PickupFeignClient 及 fallback</t>
  </si>
  <si>
    <t>其他服务启动</t>
  </si>
  <si>
    <t>服务间调用可用</t>
  </si>
  <si>
    <t>查询</t>
  </si>
  <si>
    <t>实现订单基础查询</t>
  </si>
  <si>
    <t>我的订单、订单详情、订单状态、商家订单列表</t>
  </si>
  <si>
    <t>订单表</t>
  </si>
  <si>
    <t>查询结果正确</t>
  </si>
  <si>
    <t>下单</t>
  </si>
  <si>
    <t>实现创建订单接口</t>
  </si>
  <si>
    <t>校验幂等 Key、菜品状态、库存，创建订单和明细</t>
  </si>
  <si>
    <t>menu-service 可用</t>
  </si>
  <si>
    <t>订单进入 PENDING_PAY</t>
  </si>
  <si>
    <t>接入创建订单全局事务</t>
  </si>
  <si>
    <t>createOrder 加 @GlobalTransactional；库存预占失败回滚订单</t>
  </si>
  <si>
    <t>Seata/menu-service</t>
  </si>
  <si>
    <t>异常时订单和库存一致</t>
  </si>
  <si>
    <t>支付</t>
  </si>
  <si>
    <t>实现支付订单接口</t>
  </si>
  <si>
    <t>校验归属、状态、超时；调用 user-service 验证支付密码；状态改 PAID</t>
  </si>
  <si>
    <t>user-service</t>
  </si>
  <si>
    <t>支付成功后进入待接单</t>
  </si>
  <si>
    <t>取消</t>
  </si>
  <si>
    <t>实现用户取消订单</t>
  </si>
  <si>
    <t>PENDING_PAY/PAID 可取消，PREPARING 1 分钟内可取消；释放库存并移除队列</t>
  </si>
  <si>
    <t>menu/pickup Feign</t>
  </si>
  <si>
    <t>取消后库存恢复</t>
  </si>
  <si>
    <t>商家接单</t>
  </si>
  <si>
    <t>实现接单接口</t>
  </si>
  <si>
    <t>pickup-service</t>
  </si>
  <si>
    <t>接单后有 pickupNo</t>
  </si>
  <si>
    <t>商家拒单</t>
  </si>
  <si>
    <t>实现拒绝接单接口</t>
  </si>
  <si>
    <t>PAID 状态可拒单；订单取消；释放库存</t>
  </si>
  <si>
    <t>menu-service</t>
  </si>
  <si>
    <t>拒单后库存恢复</t>
  </si>
  <si>
    <t>商家出餐</t>
  </si>
  <si>
    <t>实现出餐接口</t>
  </si>
  <si>
    <t>PREPARING 状态改 READY；调用 pickup 生成二维码和自动叫号</t>
  </si>
  <si>
    <t>大屏进入待取餐队列</t>
  </si>
  <si>
    <t>核销同步</t>
  </si>
  <si>
    <t>实现内部状态更新接口</t>
  </si>
  <si>
    <t>pickup-service 调用更新 COMPLETED；调用 menu-service consume 库存</t>
  </si>
  <si>
    <t>pickup-service/menu-service</t>
  </si>
  <si>
    <t>核销后订单完成</t>
  </si>
  <si>
    <t>实现订单配置接口</t>
  </si>
  <si>
    <t>pay_timeout_minutes、accept_timeout_minutes、cancel_window_minutes 读取/修改/缓存</t>
  </si>
  <si>
    <t>配置即时生效</t>
  </si>
  <si>
    <t>异常补偿</t>
  </si>
  <si>
    <t>实现补偿任务</t>
  </si>
  <si>
    <t>库存释放失败、消费失败、核销同步失败等重试或记录异常</t>
  </si>
  <si>
    <t>核心流程</t>
  </si>
  <si>
    <t>异常可追踪</t>
  </si>
  <si>
    <t>完成 order-service 测试</t>
  </si>
  <si>
    <t>下单、支付、取消、接单、出餐、核销、非法状态测试</t>
  </si>
  <si>
    <t>路由</t>
  </si>
  <si>
    <t>配置基础路由</t>
  </si>
  <si>
    <t>/api/user、/api/menu、/api/order、/api/pickup、/api/admin、/ws 路由到对应服务</t>
  </si>
  <si>
    <t>Nacos/业务服务</t>
  </si>
  <si>
    <t>请求可经网关转发</t>
  </si>
  <si>
    <t>白名单</t>
  </si>
  <si>
    <t>配置公开接口</t>
  </si>
  <si>
    <t>注册、登录、刷新、可售菜单、公开队列、大屏 ws 免登录</t>
  </si>
  <si>
    <t>路由配置</t>
  </si>
  <si>
    <t>公开接口无需 JWT</t>
  </si>
  <si>
    <t>JWT 鉴权</t>
  </si>
  <si>
    <t>实现 AuthGlobalFilter</t>
  </si>
  <si>
    <t>校验 Bearer token、签名、过期、Redis 黑名单；注入用户 Header</t>
  </si>
  <si>
    <t>user-service Token</t>
  </si>
  <si>
    <t>未登录返回 401</t>
  </si>
  <si>
    <t>角色控制</t>
  </si>
  <si>
    <t>实现 RoleRouteFilter</t>
  </si>
  <si>
    <t>ADMIN/MERCHANT/USER 路径角色拦截</t>
  </si>
  <si>
    <t>越权返回 403</t>
  </si>
  <si>
    <t>限流</t>
  </si>
  <si>
    <t>实现 Redis + Lua 限流</t>
  </si>
  <si>
    <t>IP 100 req/s，用户 50 req/s，敏感接口 5 req/min</t>
  </si>
  <si>
    <t>超限返回 429</t>
  </si>
  <si>
    <t>跨域</t>
  </si>
  <si>
    <t>配置 CORS</t>
  </si>
  <si>
    <t>允许前端域名、Authorization Header、WebSocket</t>
  </si>
  <si>
    <t>前端开发</t>
  </si>
  <si>
    <t>浏览器请求不被跨域拦截</t>
  </si>
  <si>
    <t>WebSocket代理</t>
  </si>
  <si>
    <t>配置 /ws/** 转发</t>
  </si>
  <si>
    <t>Gateway 转发大屏 WebSocket 到 pickup-service</t>
  </si>
  <si>
    <t>pickup WebSocket</t>
  </si>
  <si>
    <t>大屏连接成功</t>
  </si>
  <si>
    <t>完成网关测试</t>
  </si>
  <si>
    <t>鉴权、白名单、角色、限流、路由测试</t>
  </si>
  <si>
    <t>编写 MQ demo</t>
  </si>
  <si>
    <t>order-service 临时接口发送消息，消费者打印日志</t>
  </si>
  <si>
    <t>RocketMQ 启动</t>
  </si>
  <si>
    <t>生产和消费正常</t>
  </si>
  <si>
    <t>创建订单发送支付超时消息</t>
  </si>
  <si>
    <t>订单创建成功后发送 pay_timeout 延迟消息</t>
  </si>
  <si>
    <t>createOrder</t>
  </si>
  <si>
    <t>消息体包含 orderId/orderNo/type</t>
  </si>
  <si>
    <t>支付成功发送接单超时消息</t>
  </si>
  <si>
    <t>支付成功后发送 accept_timeout 延迟消息</t>
  </si>
  <si>
    <t>支付功能</t>
  </si>
  <si>
    <t>未接单超时可触发</t>
  </si>
  <si>
    <t>实现超时消费者</t>
  </si>
  <si>
    <t>消费时二次检查状态和配置时间，符合条件再取消</t>
  </si>
  <si>
    <t>取消逻辑</t>
  </si>
  <si>
    <t>已处理订单会被忽略</t>
  </si>
  <si>
    <t>定时任务</t>
  </si>
  <si>
    <t>实现超时扫描兜底</t>
  </si>
  <si>
    <t>每分钟扫描 PENDING_PAY/PAID 超时订单；使用 Redis 锁防多实例重复</t>
  </si>
  <si>
    <t>订单配置</t>
  </si>
  <si>
    <t>MQ 异常时仍可自动取消</t>
  </si>
  <si>
    <t>验证正常提交</t>
  </si>
  <si>
    <t>创建订单 + 库存预占成功后两库数据一致</t>
  </si>
  <si>
    <t>Seata 接入</t>
  </si>
  <si>
    <t>订单和库存均提交</t>
  </si>
  <si>
    <t>验证异常回滚</t>
  </si>
  <si>
    <t>库存不足或人为异常时 order_db/menu_db 回滚一致</t>
  </si>
  <si>
    <t>无脏订单和错误库存</t>
  </si>
  <si>
    <t>验证大屏实时推送</t>
  </si>
  <si>
    <t>接单、出餐、叫号、核销触发对应推送</t>
  </si>
  <si>
    <t>pickup WebSocket/Gateway</t>
  </si>
  <si>
    <t>大屏实时刷新</t>
  </si>
  <si>
    <t>验证缓存与恢复</t>
  </si>
  <si>
    <t>清空队列缓存后通过接口重建 Redis</t>
  </si>
  <si>
    <t>pickup 队列</t>
  </si>
  <si>
    <t>数据以 MySQL 为准</t>
  </si>
  <si>
    <t>公共能力</t>
  </si>
  <si>
    <t>user-web、merchant-web、admin-web、screen-web；统一 Vite 配置</t>
  </si>
  <si>
    <t>Node/pnpm</t>
  </si>
  <si>
    <t>四端 dev server 可启动</t>
  </si>
  <si>
    <t>封装 Axios</t>
  </si>
  <si>
    <t>统一 baseURL、Authorization、错误提示、Token 刷新</t>
  </si>
  <si>
    <t>gateway 可用</t>
  </si>
  <si>
    <t>接口请求统一</t>
  </si>
  <si>
    <t>实现路由守卫</t>
  </si>
  <si>
    <t>根据 token 和 role 控制页面访问</t>
  </si>
  <si>
    <t>登录接口</t>
  </si>
  <si>
    <t>未登录跳转登录页</t>
  </si>
  <si>
    <t>实现状态枚举映射</t>
  </si>
  <si>
    <t>订单状态、角色、时段、叫号类型等中文展示</t>
  </si>
  <si>
    <t>common 枚举</t>
  </si>
  <si>
    <t>页面显示一致</t>
  </si>
  <si>
    <t>用户端</t>
  </si>
  <si>
    <t>实现登录/注册页</t>
  </si>
  <si>
    <t>密码登录、验证码登录、注册、Token 保存</t>
  </si>
  <si>
    <t>用户可登录注册</t>
  </si>
  <si>
    <t>实现菜单浏览页</t>
  </si>
  <si>
    <t>游客可浏览；登录用户可加入购物车</t>
  </si>
  <si>
    <t>显示当前可售菜品</t>
  </si>
  <si>
    <t>实现购物车和订单确认页</t>
  </si>
  <si>
    <t>LocalStorage 购物车；提交订单携带幂等 Key</t>
  </si>
  <si>
    <t>order-service</t>
  </si>
  <si>
    <t>订单创建成功</t>
  </si>
  <si>
    <t>实现支付页</t>
  </si>
  <si>
    <t>输入模拟支付密码；支付失败提示；成功跳订单详情</t>
  </si>
  <si>
    <t>order-service/user-service</t>
  </si>
  <si>
    <t>订单进入 PAID</t>
  </si>
  <si>
    <t>实现我的订单和详情页</t>
  </si>
  <si>
    <t>订单列表、状态轮询、取消按钮、状态时间线</t>
  </si>
  <si>
    <t>订单状态实时刷新</t>
  </si>
  <si>
    <t>实现取餐二维码页</t>
  </si>
  <si>
    <t>READY 状态展示二维码内容和取餐码</t>
  </si>
  <si>
    <t>可用于商家核销</t>
  </si>
  <si>
    <t>商家端</t>
  </si>
  <si>
    <t>实现商家登录和首页</t>
  </si>
  <si>
    <t>登录后进入商家工作台</t>
  </si>
  <si>
    <t>user-service/gateway</t>
  </si>
  <si>
    <t>商家角色可访问</t>
  </si>
  <si>
    <t>实现菜品和菜单管理</t>
  </si>
  <si>
    <t>分类、菜品、图片、每日菜单、库存维护</t>
  </si>
  <si>
    <t>商家能发布菜单</t>
  </si>
  <si>
    <t>实现订单处理页</t>
  </si>
  <si>
    <t>待接单/制作中/待取餐三栏；接单、拒单、出餐</t>
  </si>
  <si>
    <t>商家可推进订单</t>
  </si>
  <si>
    <t>实现叫号核销页</t>
  </si>
  <si>
    <t>手动叫号、扫码核销、手动输入取餐码核销</t>
  </si>
  <si>
    <t>核销成功</t>
  </si>
  <si>
    <t>管理员端</t>
  </si>
  <si>
    <t>实现用户管理</t>
  </si>
  <si>
    <t>用户列表、启禁用、重置密码</t>
  </si>
  <si>
    <t>管理员可维护用户</t>
  </si>
  <si>
    <t>基础数据可维护</t>
  </si>
  <si>
    <t>实现业务配置页</t>
  </si>
  <si>
    <t>支付超时、接单超时、取消窗口、取餐号重置规则</t>
  </si>
  <si>
    <t>各服务 config 接口</t>
  </si>
  <si>
    <t>配置修改成功</t>
  </si>
  <si>
    <t>大屏端</t>
  </si>
  <si>
    <t>实现大屏页面</t>
  </si>
  <si>
    <t>pickup snapshot</t>
  </si>
  <si>
    <t>大屏初始数据正常</t>
  </si>
  <si>
    <t>实现 WebSocket 重连</t>
  </si>
  <si>
    <t>断线 2s 后重连；成功后拉取 snapshot</t>
  </si>
  <si>
    <t>Gateway /ws</t>
  </si>
  <si>
    <t>断线恢复正常</t>
  </si>
  <si>
    <t>联调</t>
  </si>
  <si>
    <t>前后端完整联调</t>
  </si>
  <si>
    <t>四端串联完成主流程</t>
  </si>
  <si>
    <t>后端全量可用</t>
  </si>
  <si>
    <t>浏览器完成完整点餐取餐</t>
  </si>
  <si>
    <t>单元测试</t>
  </si>
  <si>
    <t>完成用户服务测试</t>
  </si>
  <si>
    <t>注册、登录、刷新、支付密码锁定</t>
  </si>
  <si>
    <t>完成菜单服务测试</t>
  </si>
  <si>
    <t>菜单发布、可售查询、库存预占/恢复/消费</t>
  </si>
  <si>
    <t>完成订单服务测试</t>
  </si>
  <si>
    <t>下单、支付、取消、接单、出餐、核销同步、非法状态</t>
  </si>
  <si>
    <t>完成取餐服务测试</t>
  </si>
  <si>
    <t>取餐号、队列、二维码、叫号、核销、缓存恢复</t>
  </si>
  <si>
    <t>接口测试</t>
  </si>
  <si>
    <t>建立 Apifox 接口集</t>
  </si>
  <si>
    <t>按服务分组、配置环境变量、保存 token</t>
  </si>
  <si>
    <t>后端接口</t>
  </si>
  <si>
    <t>接口可一键回归</t>
  </si>
  <si>
    <t>流程测试</t>
  </si>
  <si>
    <t>测试正常下单取餐流程</t>
  </si>
  <si>
    <t>下单→支付→接单→出餐→叫号→核销→完成</t>
  </si>
  <si>
    <t>前后端联调</t>
  </si>
  <si>
    <t>流程成功</t>
  </si>
  <si>
    <t>测试待支付取消</t>
  </si>
  <si>
    <t>下单后手动取消，库存恢复</t>
  </si>
  <si>
    <t>订单/库存</t>
  </si>
  <si>
    <t>库存恢复正确</t>
  </si>
  <si>
    <t>测试支付超时自动取消</t>
  </si>
  <si>
    <t>下单不支付，MQ/定时任务取消并释放库存</t>
  </si>
  <si>
    <t>RocketMQ/定时任务</t>
  </si>
  <si>
    <t>超时取消成功</t>
  </si>
  <si>
    <t>测试商家拒单</t>
  </si>
  <si>
    <t>支付后商家拒绝，订单取消并释放库存</t>
  </si>
  <si>
    <t>测试接单后限时取消</t>
  </si>
  <si>
    <t>接单后 1 分钟内用户取消，订单取消并移出制作中队列</t>
  </si>
  <si>
    <t>订单/队列</t>
  </si>
  <si>
    <t>队列和库存正确</t>
  </si>
  <si>
    <t>安全测试</t>
  </si>
  <si>
    <t>测试鉴权和越权</t>
  </si>
  <si>
    <t>未登录、角色不符、跨商家操作、Token 黑名单</t>
  </si>
  <si>
    <t>gateway</t>
  </si>
  <si>
    <t>返回 401/403 正确</t>
  </si>
  <si>
    <t>异常测试</t>
  </si>
  <si>
    <t>测试重复提交与重复核销</t>
  </si>
  <si>
    <t>订单幂等、重复出餐、重复核销、重复库存恢复</t>
  </si>
  <si>
    <t>核心接口</t>
  </si>
  <si>
    <t>重复调用无副作用</t>
  </si>
  <si>
    <t>性能粗测</t>
  </si>
  <si>
    <t>测试并发下单</t>
  </si>
  <si>
    <t>至少模拟多个用户同时下单同一菜品</t>
  </si>
  <si>
    <t>库存预占</t>
  </si>
  <si>
    <t>不会超卖</t>
  </si>
  <si>
    <t>Bug 修复</t>
  </si>
  <si>
    <t>整理并修复缺陷</t>
  </si>
  <si>
    <t>按严重程度修复 P0/P1/P2 问题</t>
  </si>
  <si>
    <t>测试结果</t>
  </si>
  <si>
    <t>核心流程无阻塞 bug</t>
  </si>
  <si>
    <t>编写各服务 Dockerfile</t>
  </si>
  <si>
    <t>为 gateway/user/menu/order/pickup 编写 Dockerfile</t>
  </si>
  <si>
    <t>后端构建通过</t>
  </si>
  <si>
    <t>镜像可构建</t>
  </si>
  <si>
    <t>本地容器化运行后端</t>
  </si>
  <si>
    <t>用 docker compose 或本地网络跑业务服务</t>
  </si>
  <si>
    <t>Dockerfile</t>
  </si>
  <si>
    <t>容器启动并注册 Nacos</t>
  </si>
  <si>
    <t>镜像</t>
  </si>
  <si>
    <t>推送镜像到仓库</t>
  </si>
  <si>
    <t>标记版本并推送到 Docker Hub/私有仓库</t>
  </si>
  <si>
    <t>镜像构建</t>
  </si>
  <si>
    <t>K3S 可拉取镜像</t>
  </si>
  <si>
    <t>K3S</t>
  </si>
  <si>
    <t>安装/准备 K3S 集群</t>
  </si>
  <si>
    <t>确认 kubectl 可连接集群</t>
  </si>
  <si>
    <t>服务器</t>
  </si>
  <si>
    <t>kubectl get nodes 正常</t>
  </si>
  <si>
    <t>编写 namespace/configmap/secret</t>
  </si>
  <si>
    <t>集中维护外置 MySQL 连接信息，以及 Redis、Nacos、MQ、Seata 地址；不要编写 MySQL 的 K3S Deployment/StatefulSet</t>
  </si>
  <si>
    <t>K3S 集群/外置 MySQL</t>
  </si>
  <si>
    <t>配置资源创建成功</t>
  </si>
  <si>
    <t>部署 K3S 内基础组件</t>
  </si>
  <si>
    <t>仅将 Nacos、Redis、RocketMQ、Seata 部署到 K3S；MySQL 按文档部署在 K3S 集群外部，业务服务通过连接串访问</t>
  </si>
  <si>
    <t>K3S 配置</t>
  </si>
  <si>
    <t>K3S 内组件 Pod 正常，外置 MySQL 可连通</t>
  </si>
  <si>
    <t>部署业务服务</t>
  </si>
  <si>
    <t>按 user→menu→pickup→order→gateway 顺序部署</t>
  </si>
  <si>
    <t>镜像/基础组件</t>
  </si>
  <si>
    <t>所有 Pod Running</t>
  </si>
  <si>
    <t>配置健康检查</t>
  </si>
  <si>
    <t>readinessProbe/livenessProbe；失败自动重启</t>
  </si>
  <si>
    <t>业务服务</t>
  </si>
  <si>
    <t>健康检查通过</t>
  </si>
  <si>
    <t>前端部署</t>
  </si>
  <si>
    <t>构建四端前端</t>
  </si>
  <si>
    <t>pnpm build 生成 dist</t>
  </si>
  <si>
    <t>前端联调通过</t>
  </si>
  <si>
    <t>dist 产物生成</t>
  </si>
  <si>
    <t>Nginx/宝塔</t>
  </si>
  <si>
    <t>部署前端静态资源</t>
  </si>
  <si>
    <t>/user、/merchant、/admin、/screen 四个路径</t>
  </si>
  <si>
    <t>前端 dist</t>
  </si>
  <si>
    <t>浏览器可访问四端</t>
  </si>
  <si>
    <t>配置 API 和 WS 反向代理</t>
  </si>
  <si>
    <t>/api 代理到 gateway；/ws 支持 WebSocket Upgrade</t>
  </si>
  <si>
    <t>gateway 可访问</t>
  </si>
  <si>
    <t>前端接口和大屏 WS 正常</t>
  </si>
  <si>
    <t>部署验证</t>
  </si>
  <si>
    <t>线上完整流程测试</t>
  </si>
  <si>
    <t>在部署环境跑通下单、支付、接单、出餐、核销</t>
  </si>
  <si>
    <t>所有组件</t>
  </si>
  <si>
    <t>线上演示可用</t>
  </si>
  <si>
    <t>演示数据</t>
  </si>
  <si>
    <t>准备稳定演示数据</t>
  </si>
  <si>
    <t>部署环境</t>
  </si>
  <si>
    <t>演示环境可重复使用</t>
  </si>
  <si>
    <t>演示脚本</t>
  </si>
  <si>
    <t>编写演示流程脚本</t>
  </si>
  <si>
    <t>按用户端、商家端、大屏端、管理端顺序演示</t>
  </si>
  <si>
    <t>完整流程</t>
  </si>
  <si>
    <t>演示不会遗漏关键点</t>
  </si>
  <si>
    <t>截图材料</t>
  </si>
  <si>
    <t>整理系统截图</t>
  </si>
  <si>
    <t>Nacos 注册、K3S Pod、前端页面、订单流程、大屏叫号、数据库表</t>
  </si>
  <si>
    <t>答辩材料完整</t>
  </si>
  <si>
    <t>补充部署说明书</t>
  </si>
  <si>
    <t>记录环境变量、启动顺序、K3S YAML、Nginx 配置、常见问题</t>
  </si>
  <si>
    <t>部署完成</t>
  </si>
  <si>
    <t>别人可按文档部署</t>
  </si>
  <si>
    <t>补充测试报告</t>
  </si>
  <si>
    <t>记录测试用例、结果、缺陷和修复情况</t>
  </si>
  <si>
    <t>测试完成</t>
  </si>
  <si>
    <t>测试报告完整</t>
  </si>
  <si>
    <t>最终检查</t>
  </si>
  <si>
    <t>执行验收检查表</t>
  </si>
  <si>
    <t>逐项检查服务、权限、流程、MQ、Seata、WebSocket、部署</t>
  </si>
  <si>
    <t>所有功能完成</t>
  </si>
  <si>
    <t>全部核心项通过</t>
  </si>
  <si>
    <t>备份</t>
  </si>
  <si>
    <t>备份数据库和代码版本</t>
  </si>
  <si>
    <t>导出 SQL、标记 Git tag、保存部署配置</t>
  </si>
  <si>
    <t>验收前</t>
  </si>
  <si>
    <t>可快速恢复演示环境</t>
  </si>
  <si>
    <t>序号</t>
  </si>
  <si>
    <t>检查分类</t>
  </si>
  <si>
    <t>检查项</t>
  </si>
  <si>
    <t>操作步骤</t>
  </si>
  <si>
    <t>预期结果</t>
  </si>
  <si>
    <t>核心业务流</t>
  </si>
  <si>
    <t>正常点餐取餐</t>
  </si>
  <si>
    <t>用户下单→支付→商家接单→出餐→自动叫号→用户展示二维码→商家核销</t>
  </si>
  <si>
    <t>订单状态从 PENDING_PAY 到 COMPLETED；库存和队列正确变化</t>
  </si>
  <si>
    <t>待支付手动取消</t>
  </si>
  <si>
    <t>用户创建订单后不支付，直接取消</t>
  </si>
  <si>
    <t>订单 CANCELLED；库存恢复；无队列数据</t>
  </si>
  <si>
    <t>支付超时自动取消</t>
  </si>
  <si>
    <t>创建订单后超过支付超时时间不支付</t>
  </si>
  <si>
    <t>RocketMQ 或定时任务取消订单并恢复库存</t>
  </si>
  <si>
    <t>接单超时自动取消</t>
  </si>
  <si>
    <t>用户支付后商家不接单直到超时</t>
  </si>
  <si>
    <t>订单取消，库存恢复</t>
  </si>
  <si>
    <t>用户支付后商家点击拒绝接单</t>
  </si>
  <si>
    <t>接单后限时取消</t>
  </si>
  <si>
    <t>商家接单后用户在配置窗口内取消</t>
  </si>
  <si>
    <t>订单取消，从制作中队列移除，库存恢复</t>
  </si>
  <si>
    <t>队列与叫号</t>
  </si>
  <si>
    <t>大屏制作中队列</t>
  </si>
  <si>
    <t>商家接单后观察大屏</t>
  </si>
  <si>
    <t>制作中队列出现取餐号</t>
  </si>
  <si>
    <t>大屏待取餐队列</t>
  </si>
  <si>
    <t>商家出餐后观察大屏</t>
  </si>
  <si>
    <t>订单从制作中移到待取餐，并出现叫号弹窗</t>
  </si>
  <si>
    <t>手动叫号</t>
  </si>
  <si>
    <t>商家对 READY 订单点击手动叫号</t>
  </si>
  <si>
    <t>生成 MANUAL 叫号事件，大屏提示</t>
  </si>
  <si>
    <t>取餐核销</t>
  </si>
  <si>
    <t>扫码核销</t>
  </si>
  <si>
    <t>用户展示二维码，商家扫码核销</t>
  </si>
  <si>
    <t>二维码失效，订单 COMPLETED，待取餐队列移除</t>
  </si>
  <si>
    <t>手动取餐码核销</t>
  </si>
  <si>
    <t>商家输入取餐码核销</t>
  </si>
  <si>
    <t>与扫码核销结果一致</t>
  </si>
  <si>
    <t>异常与幂等</t>
  </si>
  <si>
    <t>重复提交订单</t>
  </si>
  <si>
    <t>同一 X-Idempotent-Key 重复提交同一请求</t>
  </si>
  <si>
    <t>返回同一订单，不重复扣库存</t>
  </si>
  <si>
    <t>重复核销</t>
  </si>
  <si>
    <t>同一二维码核销两次</t>
  </si>
  <si>
    <t>第二次返回取餐码无效或已核销</t>
  </si>
  <si>
    <t>安全权限</t>
  </si>
  <si>
    <t>未登录访问受保护接口</t>
  </si>
  <si>
    <t>不带 token 调用下单/订单详情</t>
  </si>
  <si>
    <t>返回 401</t>
  </si>
  <si>
    <t>角色越权</t>
  </si>
  <si>
    <t>普通用户访问商家接口或商家访问管理员接口</t>
  </si>
  <si>
    <t>返回 403</t>
  </si>
  <si>
    <t>部署检查</t>
  </si>
  <si>
    <t>K3S 服务健康</t>
  </si>
  <si>
    <t>检查 Pod、Service、Nacos 注册情况</t>
  </si>
  <si>
    <t>所有服务 Running，Gateway 可访问</t>
  </si>
  <si>
    <t>前端线上访问</t>
  </si>
  <si>
    <t>访问 /user /merchant /admin /screen</t>
  </si>
  <si>
    <t>四端页面可打开，接口和 WebSocket 正常</t>
  </si>
  <si>
    <t>使用说明</t>
  </si>
  <si>
    <t>1. “任务清单”是主表，每一行是一个可执行任务。</t>
  </si>
  <si>
    <t>2. 完成任务后，在“完成”列选择 ☑，并把“状态”改成“已完成”。</t>
  </si>
  <si>
    <t>3. 如果任务还没开始，保持“完成=☐”“状态=未开始”。</t>
  </si>
  <si>
    <t>4. 如果正在做，状态改为“进行中”。如果被卡住，状态改为“阻塞”，并在备注写清楚原因。</t>
  </si>
  <si>
    <t>5. “总览”页会根据任务清单自动统计总任务数、完成数、阻塞数和各阶段完成率。</t>
  </si>
  <si>
    <t>6. “关键流程检查”用于开发后期验收，建议每次部署前跑一遍。</t>
  </si>
  <si>
    <t>7. 建议每完成一个小任务就提交 Git，不要等一个阶段全部完成再提交。</t>
  </si>
  <si>
    <t>状态选项：未开始、进行中、已完成、阻塞、暂缓。</t>
  </si>
  <si>
    <t>完成选项：☐、☑。</t>
  </si>
  <si>
    <t>8. 部署阶段注意：MySQL 按架构文档部署在 K3S 集群外部；K3S 内只部署 Nacos、Redis、RocketMQ、Seata 和业务服务。</t>
  </si>
  <si>
    <t>设计演示数据：用户、商家窗口、菜品、订单、大屏</t>
  </si>
  <si>
    <t>创建 merchant、dish、daily_menu、inventory_log、config 等表</t>
  </si>
  <si>
    <t>插入 admin/user01/merchant01、商家窗口、分类、菜品、每日菜单库存</t>
  </si>
  <si>
    <t>创建商家窗口/分类/菜品/菜单/库存实体和 Mapper</t>
  </si>
  <si>
    <t>实现菜品分类管理</t>
  </si>
  <si>
    <t>按商家窗口、售卖时段保存每日菜单配置和库存</t>
  </si>
  <si>
    <t>菜品/商家窗口</t>
  </si>
  <si>
    <t>调整每日库存、上下架、预警阈值</t>
  </si>
  <si>
    <t>GET /api/menu/available；按时段、上架、库存过滤</t>
  </si>
  <si>
    <t>实现商家窗口管理</t>
  </si>
  <si>
    <t>管理员新增商家窗口、修改状态</t>
  </si>
  <si>
    <t>商家窗口可维护</t>
  </si>
  <si>
    <t>GET /api/pickup/preparing/{merchantId} 和 waiting；优先 Redis，缺失查 DB</t>
  </si>
  <si>
    <t>GET /api/pickup/snapshot/{merchantId}；返回两类队列和近期叫号</t>
  </si>
  <si>
    <t>POST /api/pickup/verify；支持扫码和手动码；校验商家窗口归属/状态/是否已核销</t>
  </si>
  <si>
    <t>/ws/screen/{merchantId}；推送 PREPARING_UPDATE、WAITING_UPDATE、CALL_NOTIFY</t>
  </si>
  <si>
    <t>校验 PAID、商家窗口归属、接单超时；状态改 PREPARING；调用 pickup 入制作中</t>
  </si>
  <si>
    <t>已实现商家接单/拒单/出餐接口，含状态校验、商家归属校验、接单超时、库存释放、pickup 队列流转与单测。</t>
  </si>
  <si>
    <t>已实现 PAID 拒单取消并调用 menu-service 释放库存。</t>
  </si>
  <si>
    <t>已实现 PREPARING 出餐转 READY，调用 pickup-service 转待取餐、生成二维码并自动叫号。</t>
  </si>
  <si>
    <t>已实现 /internal/order/{orderId}/complete：READY 幂等同步 COMPLETED，调用 menu-service consume，并由 pickup 核销成功后同步。</t>
  </si>
  <si>
    <t>已实现 /api/admin/order/config：查询刷新 Redis 缓存，修改正整数分钟配置并记录 updatedBy。</t>
  </si>
  <si>
    <t>已补商家流程、核销同步、订单配置、RocketMQ 超时消息、定时扫描兜底单测；Seata 代码配置已准备，等待容器环境真联调。</t>
  </si>
  <si>
    <t>已配置 user/menu/order/pickup/admin/ws 基础路由，order 管理配置路由已补齐。</t>
  </si>
  <si>
    <t>已实现方法级白名单：登录注册、可售菜单、公开分类/菜品详情、公开队列/大屏 ws。</t>
  </si>
  <si>
    <t>已实现 AuthGlobalFilter：校验 Bearer token、签名、过期、Redis 黑名单，并注入 X-User-*。</t>
  </si>
  <si>
    <t>已实现 ADMIN/MERCHANT 路径角色拦截；普通受保护接口交由后端做细粒度归属校验。</t>
  </si>
  <si>
    <t>已实现 Redis + Lua 令牌桶限流：IP 100 req/s、用户 50 req/s、敏感接口 5 req/min，超限返回 429。</t>
  </si>
  <si>
    <t>已配置 Gateway 全局 CORS，允许 Authorization、Content-Type、X-Idempotent-Key 和 WebSocket 相关跨域请求。</t>
  </si>
  <si>
    <t>已配置 /ws/** 转发到 pickup-service，并在鉴权白名单中放行大屏 WebSocket。</t>
  </si>
  <si>
    <t>已补 AuthGlobalFilter 与 RateLimitGlobalFilter 单测；剩余真实服务路由联调。</t>
  </si>
  <si>
    <t>已直接接入真实业务 RocketMQ 发送/消费链路，替代临时 demo。</t>
  </si>
  <si>
    <t>创建订单成功后发送 pay_timeout 延迟消息。</t>
  </si>
  <si>
    <t>支付成功后发送 accept_timeout 延迟消息。</t>
  </si>
  <si>
    <t>已实现 order-timeout 消费者，消费时二次检查状态和当前配置，重复/已流转消息会忽略。</t>
  </si>
  <si>
    <t>已实现每分钟超时扫描兜底：Redis 锁防多实例重复，扫描 PENDING_PAY/PAID 超时订单并复用取消逻辑。</t>
  </si>
  <si>
    <t>代码侧已补 Seata 事务分组、AT 数据源代理配置并对齐 Seata Server 版本；当前环境缺少 docker/podman/colima，暂无法启动基础组件做真联调。见 docs/Seata联调说明.md。</t>
  </si>
  <si>
    <t>同上：需可用容器环境后验证库存不足/人为异常时 order_db 和 menu_db 一致回滚。</t>
  </si>
  <si>
    <t>新增商家窗口、修改状态</t>
  </si>
  <si>
    <t>/screen/:merchantId；展示制作中、待取餐、叫号弹窗</t>
  </si>
  <si>
    <t>初始化用户、商家窗口、菜单、库存，清理历史脏数据</t>
  </si>
  <si>
    <t>后端主流程已闭环到 COMPLETED：下单、支付、接单、出餐、核销同步、库存消费均已实现，待端到端联调。</t>
  </si>
  <si>
    <t>后端接口已实现：PAID 拒单取消并释放库存，待后续联调复核。</t>
  </si>
  <si>
    <t>接单后调用 pickup 入制作中队列并生成取餐号，待大屏联调复核。</t>
  </si>
  <si>
    <t>出餐后调用 pickup 转待取餐、生成二维码并自动叫号，待大屏联调复核。</t>
  </si>
  <si>
    <t>扫码核销路径已同步 order-service 完成订单，并从待取餐队列移除。</t>
  </si>
  <si>
    <t>手动取餐码核销走同一同步逻辑。</t>
  </si>
  <si>
    <r>
      <t>创建四个 Vue 3 工程</t>
    </r>
    <r>
      <rPr>
        <sz val="11"/>
        <rFont val="Microsoft YaHei UI"/>
        <family val="2"/>
        <charset val="134"/>
      </rPr>
      <t>（修改为单个）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</si>
</sst>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8">
    <font>
      <sz val="11"/>
      <name val="Carlito"/>
    </font>
    <font>
      <sz val="11"/>
      <name val="Carlito"/>
    </font>
    <font>
      <sz val="9"/>
      <name val="194-SSPinSongTi"/>
      <family val="3"/>
      <charset val="134"/>
    </font>
    <font>
      <b/>
      <sz val="16"/>
      <color rgb="FFFFFFFF"/>
      <name val="宋体-简 常规体"/>
      <family val="3"/>
      <charset val="134"/>
    </font>
    <font>
      <sz val="11"/>
      <name val="宋体-简 常规体"/>
      <charset val="134"/>
    </font>
    <font>
      <b/>
      <sz val="11"/>
      <color rgb="FFFFFFFF"/>
      <name val="宋体-简 常规体"/>
      <charset val="134"/>
    </font>
    <font>
      <b/>
      <sz val="11"/>
      <name val="宋体-简 常规体"/>
      <charset val="134"/>
    </font>
    <font>
      <sz val="11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5394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5" fillId="2" borderId="0" xfId="1" applyFont="1" applyFill="1" applyAlignment="1">
      <alignment horizontal="center" vertical="center" wrapText="1"/>
    </xf>
    <xf numFmtId="0" fontId="6" fillId="0" borderId="0" xfId="1" applyFont="1" applyAlignment="1">
      <alignment wrapText="1"/>
    </xf>
    <xf numFmtId="0" fontId="4" fillId="0" borderId="0" xfId="1" applyFont="1" applyAlignment="1">
      <alignment wrapText="1"/>
    </xf>
    <xf numFmtId="177" fontId="4" fillId="0" borderId="0" xfId="1" applyNumberFormat="1" applyFont="1" applyAlignment="1">
      <alignment wrapText="1"/>
    </xf>
    <xf numFmtId="0" fontId="5" fillId="2" borderId="0" xfId="1" applyFont="1" applyFill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176" fontId="4" fillId="0" borderId="0" xfId="1" applyNumberFormat="1" applyFont="1" applyAlignment="1">
      <alignment vertical="top" wrapText="1"/>
    </xf>
    <xf numFmtId="0" fontId="3" fillId="3" borderId="0" xfId="1" applyFont="1" applyFill="1" applyAlignment="1">
      <alignment horizontal="center" wrapText="1"/>
    </xf>
    <xf numFmtId="0" fontId="3" fillId="3" borderId="0" xfId="1" applyFont="1" applyFill="1" applyAlignment="1">
      <alignment horizontal="center" vertical="center"/>
    </xf>
    <xf numFmtId="0" fontId="4" fillId="0" borderId="0" xfId="0" applyFont="1"/>
    <xf numFmtId="0" fontId="5" fillId="2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7"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tageSummaryTable" displayName="StageSummaryTable" ref="A12:G27">
  <tableColumns count="7">
    <tableColumn id="1" xr3:uid="{00000000-0010-0000-0000-000001000000}" name="阶段"/>
    <tableColumn id="2" xr3:uid="{00000000-0010-0000-0000-000002000000}" name="总任务"/>
    <tableColumn id="3" xr3:uid="{00000000-0010-0000-0000-000003000000}" name="已打勾"/>
    <tableColumn id="4" xr3:uid="{00000000-0010-0000-0000-000004000000}" name="完成率"/>
    <tableColumn id="5" xr3:uid="{00000000-0010-0000-0000-000005000000}" name="进行中"/>
    <tableColumn id="6" xr3:uid="{00000000-0010-0000-0000-000006000000}" name="阻塞"/>
    <tableColumn id="7" xr3:uid="{00000000-0010-0000-0000-000007000000}" name="高优先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sksTable" displayName="TasksTable" ref="A1:O165">
  <autoFilter ref="A1:O165" xr:uid="{00000000-0009-0000-0100-000001000000}"/>
  <tableColumns count="15">
    <tableColumn id="1" xr3:uid="{00000000-0010-0000-0100-000001000000}" name="ID"/>
    <tableColumn id="2" xr3:uid="{00000000-0010-0000-0100-000002000000}" name="阶段"/>
    <tableColumn id="3" xr3:uid="{00000000-0010-0000-0100-000003000000}" name="分类"/>
    <tableColumn id="4" xr3:uid="{00000000-0010-0000-0100-000004000000}" name="子任务"/>
    <tableColumn id="5" xr3:uid="{00000000-0010-0000-0100-000005000000}" name="具体要做"/>
    <tableColumn id="6" xr3:uid="{00000000-0010-0000-0100-000006000000}" name="前置依赖"/>
    <tableColumn id="7" xr3:uid="{00000000-0010-0000-0100-000007000000}" name="验收标准"/>
    <tableColumn id="8" xr3:uid="{00000000-0010-0000-0100-000008000000}" name="优先级"/>
    <tableColumn id="9" xr3:uid="{00000000-0010-0000-0100-000009000000}" name="预计工时(h)"/>
    <tableColumn id="10" xr3:uid="{00000000-0010-0000-0100-00000A000000}" name="完成"/>
    <tableColumn id="11" xr3:uid="{00000000-0010-0000-0100-00000B000000}" name="状态"/>
    <tableColumn id="12" xr3:uid="{00000000-0010-0000-0100-00000C000000}" name="计划开始"/>
    <tableColumn id="13" xr3:uid="{00000000-0010-0000-0100-00000D000000}" name="计划结束"/>
    <tableColumn id="14" xr3:uid="{00000000-0010-0000-0100-00000E000000}" name="实际完成"/>
    <tableColumn id="15" xr3:uid="{00000000-0010-0000-0100-00000F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lowChecksTable" displayName="FlowChecksTable" ref="A1:H18">
  <tableColumns count="8">
    <tableColumn id="1" xr3:uid="{00000000-0010-0000-0200-000001000000}" name="序号"/>
    <tableColumn id="2" xr3:uid="{00000000-0010-0000-0200-000002000000}" name="检查分类"/>
    <tableColumn id="3" xr3:uid="{00000000-0010-0000-0200-000003000000}" name="检查项"/>
    <tableColumn id="4" xr3:uid="{00000000-0010-0000-0200-000004000000}" name="操作步骤"/>
    <tableColumn id="5" xr3:uid="{00000000-0010-0000-0200-000005000000}" name="预期结果"/>
    <tableColumn id="6" xr3:uid="{00000000-0010-0000-0200-000006000000}" name="完成"/>
    <tableColumn id="7" xr3:uid="{00000000-0010-0000-0200-000007000000}" name="状态"/>
    <tableColumn id="8" xr3:uid="{00000000-0010-0000-0200-000008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7" workbookViewId="0">
      <selection sqref="A1:H1"/>
    </sheetView>
  </sheetViews>
  <sheetFormatPr defaultColWidth="8.875" defaultRowHeight="13.5"/>
  <cols>
    <col min="1" max="1" width="22" style="1" customWidth="1"/>
    <col min="2" max="7" width="12" style="1" customWidth="1"/>
    <col min="8" max="16384" width="8.875" style="1"/>
  </cols>
  <sheetData>
    <row r="1" spans="1:8" ht="33.950000000000003" customHeight="1">
      <c r="A1" s="11" t="s">
        <v>0</v>
      </c>
      <c r="B1" s="12"/>
      <c r="C1" s="12"/>
      <c r="D1" s="12"/>
      <c r="E1" s="12"/>
      <c r="F1" s="12"/>
      <c r="G1" s="12"/>
      <c r="H1" s="12"/>
    </row>
    <row r="3" spans="1:8" ht="26.85" customHeight="1">
      <c r="A3" s="2" t="s">
        <v>1</v>
      </c>
      <c r="B3" s="2" t="s">
        <v>2</v>
      </c>
      <c r="C3" s="2" t="s">
        <v>3</v>
      </c>
      <c r="E3" s="13" t="s">
        <v>4</v>
      </c>
      <c r="F3" s="12"/>
      <c r="G3" s="12"/>
      <c r="H3" s="12"/>
    </row>
    <row r="4" spans="1:8" ht="202.7" customHeight="1">
      <c r="A4" s="3" t="s">
        <v>5</v>
      </c>
      <c r="B4" s="4">
        <f>COUNTA(任务清单!$A$2:$A$165)</f>
        <v>164</v>
      </c>
      <c r="C4" s="4" t="s">
        <v>6</v>
      </c>
      <c r="E4" s="14" t="s">
        <v>7</v>
      </c>
      <c r="F4" s="14"/>
      <c r="G4" s="14"/>
      <c r="H4" s="14"/>
    </row>
    <row r="5" spans="1:8" ht="26.85" customHeight="1">
      <c r="A5" s="3" t="s">
        <v>8</v>
      </c>
      <c r="B5" s="4">
        <f>COUNTIF(任务清单!$J$2:$J$165,"☑")</f>
        <v>111</v>
      </c>
      <c r="C5" s="4" t="s">
        <v>9</v>
      </c>
      <c r="E5" s="14"/>
      <c r="F5" s="14"/>
      <c r="G5" s="14"/>
      <c r="H5" s="14"/>
    </row>
    <row r="6" spans="1:8" ht="47.1" customHeight="1">
      <c r="A6" s="3" t="s">
        <v>10</v>
      </c>
      <c r="B6" s="4">
        <f>COUNTIF(任务清单!$K$2:$K$165,"已完成")</f>
        <v>101</v>
      </c>
      <c r="C6" s="4" t="s">
        <v>11</v>
      </c>
      <c r="E6" s="14"/>
      <c r="F6" s="14"/>
      <c r="G6" s="14"/>
      <c r="H6" s="14"/>
    </row>
    <row r="7" spans="1:8" ht="47.1" customHeight="1">
      <c r="A7" s="3" t="s">
        <v>12</v>
      </c>
      <c r="B7" s="4">
        <f>COUNTIF(任务清单!$K$2:$K$165,"进行中")</f>
        <v>4</v>
      </c>
      <c r="C7" s="4" t="s">
        <v>13</v>
      </c>
      <c r="E7" s="14"/>
      <c r="F7" s="14"/>
      <c r="G7" s="14"/>
      <c r="H7" s="14"/>
    </row>
    <row r="8" spans="1:8" ht="26.85" customHeight="1">
      <c r="A8" s="3" t="s">
        <v>14</v>
      </c>
      <c r="B8" s="4">
        <f>COUNTIF(任务清单!$K$2:$K$165,"阻塞")</f>
        <v>0</v>
      </c>
      <c r="C8" s="4" t="s">
        <v>15</v>
      </c>
      <c r="E8" s="14"/>
      <c r="F8" s="14"/>
      <c r="G8" s="14"/>
      <c r="H8" s="14"/>
    </row>
    <row r="9" spans="1:8" ht="47.1" customHeight="1">
      <c r="A9" s="3" t="s">
        <v>16</v>
      </c>
      <c r="B9" s="5">
        <f>IF(B4=0,0,B5/B4)</f>
        <v>0.67682926829268297</v>
      </c>
      <c r="C9" s="4" t="s">
        <v>17</v>
      </c>
      <c r="E9" s="14"/>
      <c r="F9" s="14"/>
      <c r="G9" s="14"/>
      <c r="H9" s="14"/>
    </row>
    <row r="12" spans="1:8" ht="26.85" customHeight="1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</row>
    <row r="13" spans="1:8" ht="26.85" customHeight="1">
      <c r="A13" s="4" t="s">
        <v>25</v>
      </c>
      <c r="B13" s="4">
        <f>COUNTIF(任务清单!$B$2:$B$165,A13)</f>
        <v>5</v>
      </c>
      <c r="C13" s="4">
        <f>COUNTIFS(任务清单!$B$2:$B$165,A13,任务清单!$J$2:$J$165,"☑")</f>
        <v>4</v>
      </c>
      <c r="D13" s="5">
        <f t="shared" ref="D13:D27" si="0">IF(B13=0,0,C13/B13)</f>
        <v>0.8</v>
      </c>
      <c r="E13" s="4">
        <f>COUNTIFS(任务清单!$B$2:$B$165,A13,任务清单!$K$2:$K$165,"进行中")</f>
        <v>0</v>
      </c>
      <c r="F13" s="4">
        <f>COUNTIFS(任务清单!$B$2:$B$165,A13,任务清单!$K$2:$K$165,"阻塞")</f>
        <v>0</v>
      </c>
      <c r="G13" s="4">
        <f>COUNTIFS(任务清单!$B$2:$B$165,A13,任务清单!$H$2:$H$165,"高")</f>
        <v>5</v>
      </c>
    </row>
    <row r="14" spans="1:8" ht="26.85" customHeight="1">
      <c r="A14" s="4" t="s">
        <v>26</v>
      </c>
      <c r="B14" s="4">
        <f>COUNTIF(任务清单!$B$2:$B$165,A14)</f>
        <v>7</v>
      </c>
      <c r="C14" s="4">
        <f>COUNTIFS(任务清单!$B$2:$B$165,A14,任务清单!$J$2:$J$165,"☑")</f>
        <v>7</v>
      </c>
      <c r="D14" s="5">
        <f t="shared" si="0"/>
        <v>1</v>
      </c>
      <c r="E14" s="4">
        <f>COUNTIFS(任务清单!$B$2:$B$165,A14,任务清单!$K$2:$K$165,"进行中")</f>
        <v>0</v>
      </c>
      <c r="F14" s="4">
        <f>COUNTIFS(任务清单!$B$2:$B$165,A14,任务清单!$K$2:$K$165,"阻塞")</f>
        <v>0</v>
      </c>
      <c r="G14" s="4">
        <f>COUNTIFS(任务清单!$B$2:$B$165,A14,任务清单!$H$2:$H$165,"高")</f>
        <v>7</v>
      </c>
    </row>
    <row r="15" spans="1:8" ht="26.85" customHeight="1">
      <c r="A15" s="4" t="s">
        <v>27</v>
      </c>
      <c r="B15" s="4">
        <f>COUNTIF(任务清单!$B$2:$B$165,A15)</f>
        <v>13</v>
      </c>
      <c r="C15" s="4">
        <f>COUNTIFS(任务清单!$B$2:$B$165,A15,任务清单!$J$2:$J$165,"☑")</f>
        <v>13</v>
      </c>
      <c r="D15" s="5">
        <f t="shared" si="0"/>
        <v>1</v>
      </c>
      <c r="E15" s="4">
        <f>COUNTIFS(任务清单!$B$2:$B$165,A15,任务清单!$K$2:$K$165,"进行中")</f>
        <v>0</v>
      </c>
      <c r="F15" s="4">
        <f>COUNTIFS(任务清单!$B$2:$B$165,A15,任务清单!$K$2:$K$165,"阻塞")</f>
        <v>0</v>
      </c>
      <c r="G15" s="4">
        <f>COUNTIFS(任务清单!$B$2:$B$165,A15,任务清单!$H$2:$H$165,"高")</f>
        <v>13</v>
      </c>
    </row>
    <row r="16" spans="1:8" ht="26.85" customHeight="1">
      <c r="A16" s="4" t="s">
        <v>28</v>
      </c>
      <c r="B16" s="4">
        <f>COUNTIF(任务清单!$B$2:$B$165,A16)</f>
        <v>8</v>
      </c>
      <c r="C16" s="4">
        <f>COUNTIFS(任务清单!$B$2:$B$165,A16,任务清单!$J$2:$J$165,"☑")</f>
        <v>7</v>
      </c>
      <c r="D16" s="5">
        <f t="shared" si="0"/>
        <v>0.875</v>
      </c>
      <c r="E16" s="4">
        <f>COUNTIFS(任务清单!$B$2:$B$165,A16,任务清单!$K$2:$K$165,"进行中")</f>
        <v>0</v>
      </c>
      <c r="F16" s="4">
        <f>COUNTIFS(任务清单!$B$2:$B$165,A16,任务清单!$K$2:$K$165,"阻塞")</f>
        <v>0</v>
      </c>
      <c r="G16" s="4">
        <f>COUNTIFS(任务清单!$B$2:$B$165,A16,任务清单!$H$2:$H$165,"高")</f>
        <v>8</v>
      </c>
    </row>
    <row r="17" spans="1:7" ht="26.85" customHeight="1">
      <c r="A17" s="4" t="s">
        <v>29</v>
      </c>
      <c r="B17" s="4">
        <f>COUNTIF(任务清单!$B$2:$B$165,A17)</f>
        <v>8</v>
      </c>
      <c r="C17" s="4">
        <f>COUNTIFS(任务清单!$B$2:$B$165,A17,任务清单!$J$2:$J$165,"☑")</f>
        <v>8</v>
      </c>
      <c r="D17" s="5">
        <f t="shared" si="0"/>
        <v>1</v>
      </c>
      <c r="E17" s="4">
        <f>COUNTIFS(任务清单!$B$2:$B$165,A17,任务清单!$K$2:$K$165,"进行中")</f>
        <v>0</v>
      </c>
      <c r="F17" s="4">
        <f>COUNTIFS(任务清单!$B$2:$B$165,A17,任务清单!$K$2:$K$165,"阻塞")</f>
        <v>0</v>
      </c>
      <c r="G17" s="4">
        <f>COUNTIFS(任务清单!$B$2:$B$165,A17,任务清单!$H$2:$H$165,"高")</f>
        <v>8</v>
      </c>
    </row>
    <row r="18" spans="1:7" ht="26.85" customHeight="1">
      <c r="A18" s="4" t="s">
        <v>30</v>
      </c>
      <c r="B18" s="4">
        <f>COUNTIF(任务清单!$B$2:$B$165,A18)</f>
        <v>12</v>
      </c>
      <c r="C18" s="4">
        <f>COUNTIFS(任务清单!$B$2:$B$165,A18,任务清单!$J$2:$J$165,"☑")</f>
        <v>11</v>
      </c>
      <c r="D18" s="5">
        <f t="shared" si="0"/>
        <v>0.91666666666666663</v>
      </c>
      <c r="E18" s="4">
        <f>COUNTIFS(任务清单!$B$2:$B$165,A18,任务清单!$K$2:$K$165,"进行中")</f>
        <v>0</v>
      </c>
      <c r="F18" s="4">
        <f>COUNTIFS(任务清单!$B$2:$B$165,A18,任务清单!$K$2:$K$165,"阻塞")</f>
        <v>0</v>
      </c>
      <c r="G18" s="4">
        <f>COUNTIFS(任务清单!$B$2:$B$165,A18,任务清单!$H$2:$H$165,"高")</f>
        <v>12</v>
      </c>
    </row>
    <row r="19" spans="1:7" ht="26.85" customHeight="1">
      <c r="A19" s="4" t="s">
        <v>31</v>
      </c>
      <c r="B19" s="4">
        <f>COUNTIF(任务清单!$B$2:$B$165,A19)</f>
        <v>14</v>
      </c>
      <c r="C19" s="4">
        <f>COUNTIFS(任务清单!$B$2:$B$165,A19,任务清单!$J$2:$J$165,"☑")</f>
        <v>14</v>
      </c>
      <c r="D19" s="5">
        <f t="shared" si="0"/>
        <v>1</v>
      </c>
      <c r="E19" s="4">
        <f>COUNTIFS(任务清单!$B$2:$B$165,A19,任务清单!$K$2:$K$165,"进行中")</f>
        <v>0</v>
      </c>
      <c r="F19" s="4">
        <f>COUNTIFS(任务清单!$B$2:$B$165,A19,任务清单!$K$2:$K$165,"阻塞")</f>
        <v>0</v>
      </c>
      <c r="G19" s="4">
        <f>COUNTIFS(任务清单!$B$2:$B$165,A19,任务清单!$H$2:$H$165,"高")</f>
        <v>14</v>
      </c>
    </row>
    <row r="20" spans="1:7" ht="26.85" customHeight="1">
      <c r="A20" s="4" t="s">
        <v>32</v>
      </c>
      <c r="B20" s="4">
        <f>COUNTIF(任务清单!$B$2:$B$165,A20)</f>
        <v>13</v>
      </c>
      <c r="C20" s="4">
        <f>COUNTIFS(任务清单!$B$2:$B$165,A20,任务清单!$J$2:$J$165,"☑")</f>
        <v>12</v>
      </c>
      <c r="D20" s="5">
        <f t="shared" si="0"/>
        <v>0.92307692307692313</v>
      </c>
      <c r="E20" s="4">
        <f>COUNTIFS(任务清单!$B$2:$B$165,A20,任务清单!$K$2:$K$165,"进行中")</f>
        <v>1</v>
      </c>
      <c r="F20" s="4">
        <f>COUNTIFS(任务清单!$B$2:$B$165,A20,任务清单!$K$2:$K$165,"阻塞")</f>
        <v>0</v>
      </c>
      <c r="G20" s="4">
        <f>COUNTIFS(任务清单!$B$2:$B$165,A20,任务清单!$H$2:$H$165,"高")</f>
        <v>13</v>
      </c>
    </row>
    <row r="21" spans="1:7" ht="26.85" customHeight="1">
      <c r="A21" s="4" t="s">
        <v>33</v>
      </c>
      <c r="B21" s="4">
        <f>COUNTIF(任务清单!$B$2:$B$165,A21)</f>
        <v>14</v>
      </c>
      <c r="C21" s="4">
        <f>COUNTIFS(任务清单!$B$2:$B$165,A21,任务清单!$J$2:$J$165,"☑")</f>
        <v>11</v>
      </c>
      <c r="D21" s="5">
        <f t="shared" si="0"/>
        <v>0.7857142857142857</v>
      </c>
      <c r="E21" s="4">
        <f>COUNTIFS(任务清单!$B$2:$B$165,A21,任务清单!$K$2:$K$165,"进行中")</f>
        <v>2</v>
      </c>
      <c r="F21" s="4">
        <f>COUNTIFS(任务清单!$B$2:$B$165,A21,任务清单!$K$2:$K$165,"阻塞")</f>
        <v>0</v>
      </c>
      <c r="G21" s="4">
        <f>COUNTIFS(任务清单!$B$2:$B$165,A21,任务清单!$H$2:$H$165,"高")</f>
        <v>14</v>
      </c>
    </row>
    <row r="22" spans="1:7" ht="26.85" customHeight="1">
      <c r="A22" s="4" t="s">
        <v>34</v>
      </c>
      <c r="B22" s="4">
        <f>COUNTIF(任务清单!$B$2:$B$165,A22)</f>
        <v>8</v>
      </c>
      <c r="C22" s="4">
        <f>COUNTIFS(任务清单!$B$2:$B$165,A22,任务清单!$J$2:$J$165,"☑")</f>
        <v>7</v>
      </c>
      <c r="D22" s="5">
        <f t="shared" si="0"/>
        <v>0.875</v>
      </c>
      <c r="E22" s="4">
        <f>COUNTIFS(任务清单!$B$2:$B$165,A22,任务清单!$K$2:$K$165,"进行中")</f>
        <v>1</v>
      </c>
      <c r="F22" s="4">
        <f>COUNTIFS(任务清单!$B$2:$B$165,A22,任务清单!$K$2:$K$165,"阻塞")</f>
        <v>0</v>
      </c>
      <c r="G22" s="4">
        <f>COUNTIFS(任务清单!$B$2:$B$165,A22,任务清单!$H$2:$H$165,"高")</f>
        <v>8</v>
      </c>
    </row>
    <row r="23" spans="1:7" ht="26.85" customHeight="1">
      <c r="A23" s="4" t="s">
        <v>35</v>
      </c>
      <c r="B23" s="4">
        <f>COUNTIF(任务清单!$B$2:$B$165,A23)</f>
        <v>9</v>
      </c>
      <c r="C23" s="4">
        <f>COUNTIFS(任务清单!$B$2:$B$165,A23,任务清单!$J$2:$J$165,"☑")</f>
        <v>9</v>
      </c>
      <c r="D23" s="5">
        <f t="shared" si="0"/>
        <v>1</v>
      </c>
      <c r="E23" s="4">
        <f>COUNTIFS(任务清单!$B$2:$B$165,A23,任务清单!$K$2:$K$165,"进行中")</f>
        <v>0</v>
      </c>
      <c r="F23" s="4">
        <f>COUNTIFS(任务清单!$B$2:$B$165,A23,任务清单!$K$2:$K$165,"阻塞")</f>
        <v>0</v>
      </c>
      <c r="G23" s="4">
        <f>COUNTIFS(任务清单!$B$2:$B$165,A23,任务清单!$H$2:$H$165,"高")</f>
        <v>9</v>
      </c>
    </row>
    <row r="24" spans="1:7" ht="26.85" customHeight="1">
      <c r="A24" s="4" t="s">
        <v>36</v>
      </c>
      <c r="B24" s="4">
        <f>COUNTIF(任务清单!$B$2:$B$165,A24)</f>
        <v>20</v>
      </c>
      <c r="C24" s="4">
        <f>COUNTIFS(任务清单!$B$2:$B$165,A24,任务清单!$J$2:$J$165,"☑")</f>
        <v>8</v>
      </c>
      <c r="D24" s="5">
        <f t="shared" si="0"/>
        <v>0.4</v>
      </c>
      <c r="E24" s="4">
        <f>COUNTIFS(任务清单!$B$2:$B$165,A24,任务清单!$K$2:$K$165,"进行中")</f>
        <v>0</v>
      </c>
      <c r="F24" s="4">
        <f>COUNTIFS(任务清单!$B$2:$B$165,A24,任务清单!$K$2:$K$165,"阻塞")</f>
        <v>0</v>
      </c>
      <c r="G24" s="4">
        <f>COUNTIFS(任务清单!$B$2:$B$165,A24,任务清单!$H$2:$H$165,"高")</f>
        <v>20</v>
      </c>
    </row>
    <row r="25" spans="1:7" ht="26.85" customHeight="1">
      <c r="A25" s="4" t="s">
        <v>37</v>
      </c>
      <c r="B25" s="4">
        <f>COUNTIF(任务清单!$B$2:$B$165,A25)</f>
        <v>14</v>
      </c>
      <c r="C25" s="4">
        <f>COUNTIFS(任务清单!$B$2:$B$165,A25,任务清单!$J$2:$J$165,"☑")</f>
        <v>0</v>
      </c>
      <c r="D25" s="5">
        <f t="shared" si="0"/>
        <v>0</v>
      </c>
      <c r="E25" s="4">
        <f>COUNTIFS(任务清单!$B$2:$B$165,A25,任务清单!$K$2:$K$165,"进行中")</f>
        <v>0</v>
      </c>
      <c r="F25" s="4">
        <f>COUNTIFS(任务清单!$B$2:$B$165,A25,任务清单!$K$2:$K$165,"阻塞")</f>
        <v>0</v>
      </c>
      <c r="G25" s="4">
        <f>COUNTIFS(任务清单!$B$2:$B$165,A25,任务清单!$H$2:$H$165,"高")</f>
        <v>14</v>
      </c>
    </row>
    <row r="26" spans="1:7" ht="26.85" customHeight="1">
      <c r="A26" s="4" t="s">
        <v>38</v>
      </c>
      <c r="B26" s="4">
        <f>COUNTIF(任务清单!$B$2:$B$165,A26)</f>
        <v>12</v>
      </c>
      <c r="C26" s="4">
        <f>COUNTIFS(任务清单!$B$2:$B$165,A26,任务清单!$J$2:$J$165,"☑")</f>
        <v>0</v>
      </c>
      <c r="D26" s="5">
        <f t="shared" si="0"/>
        <v>0</v>
      </c>
      <c r="E26" s="4">
        <f>COUNTIFS(任务清单!$B$2:$B$165,A26,任务清单!$K$2:$K$165,"进行中")</f>
        <v>0</v>
      </c>
      <c r="F26" s="4">
        <f>COUNTIFS(任务清单!$B$2:$B$165,A26,任务清单!$K$2:$K$165,"阻塞")</f>
        <v>0</v>
      </c>
      <c r="G26" s="4">
        <f>COUNTIFS(任务清单!$B$2:$B$165,A26,任务清单!$H$2:$H$165,"高")</f>
        <v>12</v>
      </c>
    </row>
    <row r="27" spans="1:7" ht="26.85" customHeight="1">
      <c r="A27" s="4" t="s">
        <v>39</v>
      </c>
      <c r="B27" s="4">
        <f>COUNTIF(任务清单!$B$2:$B$165,A27)</f>
        <v>7</v>
      </c>
      <c r="C27" s="4">
        <f>COUNTIFS(任务清单!$B$2:$B$165,A27,任务清单!$J$2:$J$165,"☑")</f>
        <v>0</v>
      </c>
      <c r="D27" s="5">
        <f t="shared" si="0"/>
        <v>0</v>
      </c>
      <c r="E27" s="4">
        <f>COUNTIFS(任务清单!$B$2:$B$165,A27,任务清单!$K$2:$K$165,"进行中")</f>
        <v>0</v>
      </c>
      <c r="F27" s="4">
        <f>COUNTIFS(任务清单!$B$2:$B$165,A27,任务清单!$K$2:$K$165,"阻塞")</f>
        <v>0</v>
      </c>
      <c r="G27" s="4">
        <f>COUNTIFS(任务清单!$B$2:$B$165,A27,任务清单!$H$2:$H$165,"高")</f>
        <v>7</v>
      </c>
    </row>
  </sheetData>
  <mergeCells count="3">
    <mergeCell ref="A1:H1"/>
    <mergeCell ref="E3:H3"/>
    <mergeCell ref="E4:H9"/>
  </mergeCells>
  <phoneticPr fontId="2" type="noConversion"/>
  <conditionalFormatting sqref="D13:D27">
    <cfRule type="dataBar" priority="1">
      <dataBar>
        <cfvo type="min"/>
        <cfvo type="max"/>
        <color rgb="FF6FA8DC"/>
      </dataBar>
    </cfRule>
    <cfRule type="dataBar" priority="2">
      <dataBar>
        <cfvo type="min"/>
        <cfvo type="max"/>
        <color rgb="FF6FA8DC"/>
      </dataBar>
    </cfRule>
    <cfRule type="dataBar" priority="3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{9BFB47AB-F48E-53DF-E161-4C924D031700}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B47AB-F48E-53DF-E161-4C924D031700}">
            <x14:dataBar>
              <x14:cfvo type="min"/>
              <x14:cfvo type="max"/>
              <x14:negativeFillColor auto="1"/>
              <x14:axisColor auto="1"/>
            </x14:dataBar>
          </x14:cfRule>
          <xm:sqref>D13:D27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5"/>
  <sheetViews>
    <sheetView tabSelected="1" topLeftCell="A103" workbookViewId="0">
      <selection activeCell="D113" sqref="D113"/>
    </sheetView>
  </sheetViews>
  <sheetFormatPr defaultColWidth="8.875" defaultRowHeight="14.25"/>
  <cols>
    <col min="1" max="1" width="7" customWidth="1"/>
    <col min="2" max="2" width="18" customWidth="1"/>
    <col min="3" max="3" width="16" customWidth="1"/>
    <col min="4" max="4" width="24" customWidth="1"/>
    <col min="5" max="5" width="46" customWidth="1"/>
    <col min="6" max="6" width="30" customWidth="1"/>
    <col min="7" max="7" width="34" customWidth="1"/>
    <col min="8" max="8" width="10" customWidth="1"/>
    <col min="9" max="9" width="12" customWidth="1"/>
    <col min="10" max="10" width="9" customWidth="1"/>
    <col min="11" max="11" width="12" customWidth="1"/>
    <col min="12" max="14" width="13" customWidth="1"/>
    <col min="15" max="15" width="28" customWidth="1"/>
  </cols>
  <sheetData>
    <row r="1" spans="1:15" ht="26.85" customHeight="1">
      <c r="A1" s="6" t="s">
        <v>40</v>
      </c>
      <c r="B1" s="6" t="s">
        <v>18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53</v>
      </c>
    </row>
    <row r="2" spans="1:15" ht="47.1" customHeight="1">
      <c r="A2" s="7">
        <v>1</v>
      </c>
      <c r="B2" s="7" t="s">
        <v>25</v>
      </c>
      <c r="C2" s="7" t="s">
        <v>54</v>
      </c>
      <c r="D2" s="7" t="s">
        <v>55</v>
      </c>
      <c r="E2" s="7" t="s">
        <v>56</v>
      </c>
      <c r="F2" s="7" t="s">
        <v>57</v>
      </c>
      <c r="G2" s="7" t="s">
        <v>58</v>
      </c>
      <c r="H2" s="8" t="s">
        <v>59</v>
      </c>
      <c r="I2" s="8">
        <v>2</v>
      </c>
      <c r="J2" s="8" t="s">
        <v>60</v>
      </c>
      <c r="K2" s="8" t="s">
        <v>61</v>
      </c>
      <c r="L2" s="9"/>
      <c r="M2" s="9"/>
      <c r="N2" s="9"/>
      <c r="O2" s="7"/>
    </row>
    <row r="3" spans="1:15" ht="47.1" customHeight="1">
      <c r="A3" s="7">
        <v>2</v>
      </c>
      <c r="B3" s="7" t="s">
        <v>25</v>
      </c>
      <c r="C3" s="7" t="s">
        <v>62</v>
      </c>
      <c r="D3" s="7" t="s">
        <v>63</v>
      </c>
      <c r="E3" s="7" t="s">
        <v>64</v>
      </c>
      <c r="F3" s="7" t="s">
        <v>65</v>
      </c>
      <c r="G3" s="7" t="s">
        <v>66</v>
      </c>
      <c r="H3" s="8" t="s">
        <v>59</v>
      </c>
      <c r="I3" s="8">
        <v>2</v>
      </c>
      <c r="J3" s="8" t="s">
        <v>60</v>
      </c>
      <c r="K3" s="8" t="s">
        <v>61</v>
      </c>
      <c r="L3" s="9"/>
      <c r="M3" s="9"/>
      <c r="N3" s="9"/>
      <c r="O3" s="7"/>
    </row>
    <row r="4" spans="1:15" ht="47.1" customHeight="1">
      <c r="A4" s="7">
        <v>3</v>
      </c>
      <c r="B4" s="7" t="s">
        <v>25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71</v>
      </c>
      <c r="H4" s="8" t="s">
        <v>59</v>
      </c>
      <c r="I4" s="8">
        <v>2</v>
      </c>
      <c r="J4" s="8" t="s">
        <v>60</v>
      </c>
      <c r="K4" s="8" t="s">
        <v>61</v>
      </c>
      <c r="L4" s="9"/>
      <c r="M4" s="9"/>
      <c r="N4" s="9"/>
      <c r="O4" s="7"/>
    </row>
    <row r="5" spans="1:15" ht="47.1" customHeight="1">
      <c r="A5" s="7">
        <v>4</v>
      </c>
      <c r="B5" s="7" t="s">
        <v>25</v>
      </c>
      <c r="C5" s="7" t="s">
        <v>72</v>
      </c>
      <c r="D5" s="7" t="s">
        <v>73</v>
      </c>
      <c r="E5" s="7" t="s">
        <v>74</v>
      </c>
      <c r="F5" s="7" t="s">
        <v>75</v>
      </c>
      <c r="G5" s="7" t="s">
        <v>76</v>
      </c>
      <c r="H5" s="8" t="s">
        <v>59</v>
      </c>
      <c r="I5" s="8">
        <v>2</v>
      </c>
      <c r="J5" s="8" t="s">
        <v>60</v>
      </c>
      <c r="K5" s="8" t="s">
        <v>61</v>
      </c>
      <c r="L5" s="9"/>
      <c r="M5" s="9"/>
      <c r="N5" s="9"/>
      <c r="O5" s="7"/>
    </row>
    <row r="6" spans="1:15" ht="47.1" customHeight="1">
      <c r="A6" s="7">
        <v>5</v>
      </c>
      <c r="B6" s="7" t="s">
        <v>25</v>
      </c>
      <c r="C6" s="7" t="s">
        <v>77</v>
      </c>
      <c r="D6" s="7" t="s">
        <v>78</v>
      </c>
      <c r="E6" s="7" t="s">
        <v>804</v>
      </c>
      <c r="F6" s="7" t="s">
        <v>79</v>
      </c>
      <c r="G6" s="7" t="s">
        <v>80</v>
      </c>
      <c r="H6" s="8" t="s">
        <v>59</v>
      </c>
      <c r="I6" s="8">
        <v>2</v>
      </c>
      <c r="J6" s="8" t="s">
        <v>81</v>
      </c>
      <c r="K6" s="8" t="s">
        <v>82</v>
      </c>
      <c r="L6" s="9"/>
      <c r="M6" s="9"/>
      <c r="N6" s="9"/>
      <c r="O6" s="7"/>
    </row>
    <row r="7" spans="1:15" ht="26.85" customHeight="1">
      <c r="A7" s="7">
        <v>6</v>
      </c>
      <c r="B7" s="7" t="s">
        <v>26</v>
      </c>
      <c r="C7" s="7" t="s">
        <v>83</v>
      </c>
      <c r="D7" s="7" t="s">
        <v>84</v>
      </c>
      <c r="E7" s="7" t="s">
        <v>85</v>
      </c>
      <c r="F7" s="7" t="s">
        <v>65</v>
      </c>
      <c r="G7" s="7" t="s">
        <v>86</v>
      </c>
      <c r="H7" s="8" t="s">
        <v>59</v>
      </c>
      <c r="I7" s="8">
        <v>2</v>
      </c>
      <c r="J7" s="8" t="s">
        <v>60</v>
      </c>
      <c r="K7" s="8" t="s">
        <v>61</v>
      </c>
      <c r="L7" s="9"/>
      <c r="M7" s="9"/>
      <c r="N7" s="9"/>
      <c r="O7" s="7"/>
    </row>
    <row r="8" spans="1:15" ht="26.85" customHeight="1">
      <c r="A8" s="7">
        <v>7</v>
      </c>
      <c r="B8" s="7" t="s">
        <v>26</v>
      </c>
      <c r="C8" s="7" t="s">
        <v>83</v>
      </c>
      <c r="D8" s="7" t="s">
        <v>87</v>
      </c>
      <c r="E8" s="7" t="s">
        <v>88</v>
      </c>
      <c r="F8" s="7" t="s">
        <v>89</v>
      </c>
      <c r="G8" s="7" t="s">
        <v>90</v>
      </c>
      <c r="H8" s="8" t="s">
        <v>59</v>
      </c>
      <c r="I8" s="8">
        <v>2</v>
      </c>
      <c r="J8" s="8" t="s">
        <v>60</v>
      </c>
      <c r="K8" s="8" t="s">
        <v>61</v>
      </c>
      <c r="L8" s="9"/>
      <c r="M8" s="9"/>
      <c r="N8" s="9"/>
      <c r="O8" s="7"/>
    </row>
    <row r="9" spans="1:15" ht="26.85" customHeight="1">
      <c r="A9" s="7">
        <v>8</v>
      </c>
      <c r="B9" s="7" t="s">
        <v>26</v>
      </c>
      <c r="C9" s="7" t="s">
        <v>91</v>
      </c>
      <c r="D9" s="7" t="s">
        <v>92</v>
      </c>
      <c r="E9" s="7" t="s">
        <v>93</v>
      </c>
      <c r="F9" s="7" t="s">
        <v>65</v>
      </c>
      <c r="G9" s="7" t="s">
        <v>94</v>
      </c>
      <c r="H9" s="8" t="s">
        <v>59</v>
      </c>
      <c r="I9" s="8">
        <v>2</v>
      </c>
      <c r="J9" s="8" t="s">
        <v>60</v>
      </c>
      <c r="K9" s="8" t="s">
        <v>61</v>
      </c>
      <c r="L9" s="9"/>
      <c r="M9" s="9"/>
      <c r="N9" s="9"/>
      <c r="O9" s="7"/>
    </row>
    <row r="10" spans="1:15" ht="26.85" customHeight="1">
      <c r="A10" s="7">
        <v>9</v>
      </c>
      <c r="B10" s="7" t="s">
        <v>26</v>
      </c>
      <c r="C10" s="7" t="s">
        <v>95</v>
      </c>
      <c r="D10" s="7" t="s">
        <v>96</v>
      </c>
      <c r="E10" s="7" t="s">
        <v>97</v>
      </c>
      <c r="F10" s="7" t="s">
        <v>65</v>
      </c>
      <c r="G10" s="7" t="s">
        <v>98</v>
      </c>
      <c r="H10" s="8" t="s">
        <v>59</v>
      </c>
      <c r="I10" s="8">
        <v>2</v>
      </c>
      <c r="J10" s="8" t="s">
        <v>60</v>
      </c>
      <c r="K10" s="8" t="s">
        <v>61</v>
      </c>
      <c r="L10" s="9"/>
      <c r="M10" s="9"/>
      <c r="N10" s="9"/>
      <c r="O10" s="7"/>
    </row>
    <row r="11" spans="1:15" ht="26.85" customHeight="1">
      <c r="A11" s="7">
        <v>10</v>
      </c>
      <c r="B11" s="7" t="s">
        <v>26</v>
      </c>
      <c r="C11" s="7" t="s">
        <v>99</v>
      </c>
      <c r="D11" s="7" t="s">
        <v>100</v>
      </c>
      <c r="E11" s="7" t="s">
        <v>101</v>
      </c>
      <c r="F11" s="7" t="s">
        <v>102</v>
      </c>
      <c r="G11" s="7" t="s">
        <v>103</v>
      </c>
      <c r="H11" s="8" t="s">
        <v>59</v>
      </c>
      <c r="I11" s="8">
        <v>2</v>
      </c>
      <c r="J11" s="8" t="s">
        <v>60</v>
      </c>
      <c r="K11" s="8" t="s">
        <v>61</v>
      </c>
      <c r="L11" s="9"/>
      <c r="M11" s="9"/>
      <c r="N11" s="9"/>
      <c r="O11" s="7"/>
    </row>
    <row r="12" spans="1:15" ht="26.85" customHeight="1">
      <c r="A12" s="7">
        <v>11</v>
      </c>
      <c r="B12" s="7" t="s">
        <v>26</v>
      </c>
      <c r="C12" s="7" t="s">
        <v>104</v>
      </c>
      <c r="D12" s="7" t="s">
        <v>105</v>
      </c>
      <c r="E12" s="7" t="s">
        <v>106</v>
      </c>
      <c r="F12" s="7" t="s">
        <v>65</v>
      </c>
      <c r="G12" s="7" t="s">
        <v>107</v>
      </c>
      <c r="H12" s="8" t="s">
        <v>59</v>
      </c>
      <c r="I12" s="8">
        <v>2</v>
      </c>
      <c r="J12" s="8" t="s">
        <v>60</v>
      </c>
      <c r="K12" s="8" t="s">
        <v>61</v>
      </c>
      <c r="L12" s="9"/>
      <c r="M12" s="9"/>
      <c r="N12" s="9"/>
      <c r="O12" s="7"/>
    </row>
    <row r="13" spans="1:15" ht="26.85" customHeight="1">
      <c r="A13" s="7">
        <v>12</v>
      </c>
      <c r="B13" s="7" t="s">
        <v>26</v>
      </c>
      <c r="C13" s="7" t="s">
        <v>108</v>
      </c>
      <c r="D13" s="7" t="s">
        <v>109</v>
      </c>
      <c r="E13" s="7" t="s">
        <v>110</v>
      </c>
      <c r="F13" s="7" t="s">
        <v>65</v>
      </c>
      <c r="G13" s="7" t="s">
        <v>111</v>
      </c>
      <c r="H13" s="8" t="s">
        <v>59</v>
      </c>
      <c r="I13" s="8">
        <v>2</v>
      </c>
      <c r="J13" s="8" t="s">
        <v>60</v>
      </c>
      <c r="K13" s="8" t="s">
        <v>61</v>
      </c>
      <c r="L13" s="9"/>
      <c r="M13" s="9"/>
      <c r="N13" s="9"/>
      <c r="O13" s="7"/>
    </row>
    <row r="14" spans="1:15" ht="47.1" customHeight="1">
      <c r="A14" s="7">
        <v>13</v>
      </c>
      <c r="B14" s="7" t="s">
        <v>27</v>
      </c>
      <c r="C14" s="7" t="s">
        <v>112</v>
      </c>
      <c r="D14" s="7" t="s">
        <v>113</v>
      </c>
      <c r="E14" s="7" t="s">
        <v>114</v>
      </c>
      <c r="F14" s="7" t="s">
        <v>115</v>
      </c>
      <c r="G14" s="7" t="s">
        <v>116</v>
      </c>
      <c r="H14" s="8" t="s">
        <v>59</v>
      </c>
      <c r="I14" s="8">
        <v>4</v>
      </c>
      <c r="J14" s="8" t="s">
        <v>60</v>
      </c>
      <c r="K14" s="8" t="s">
        <v>61</v>
      </c>
      <c r="L14" s="9"/>
      <c r="M14" s="9"/>
      <c r="N14" s="9"/>
      <c r="O14" s="7"/>
    </row>
    <row r="15" spans="1:15" ht="26.85" customHeight="1">
      <c r="A15" s="7">
        <v>14</v>
      </c>
      <c r="B15" s="7" t="s">
        <v>27</v>
      </c>
      <c r="C15" s="7" t="s">
        <v>117</v>
      </c>
      <c r="D15" s="7" t="s">
        <v>118</v>
      </c>
      <c r="E15" s="7" t="s">
        <v>119</v>
      </c>
      <c r="F15" s="7" t="s">
        <v>112</v>
      </c>
      <c r="G15" s="7" t="s">
        <v>120</v>
      </c>
      <c r="H15" s="8" t="s">
        <v>59</v>
      </c>
      <c r="I15" s="8">
        <v>2</v>
      </c>
      <c r="J15" s="8" t="s">
        <v>60</v>
      </c>
      <c r="K15" s="8" t="s">
        <v>61</v>
      </c>
      <c r="L15" s="9"/>
      <c r="M15" s="9"/>
      <c r="N15" s="9"/>
      <c r="O15" s="7"/>
    </row>
    <row r="16" spans="1:15" ht="26.85" customHeight="1">
      <c r="A16" s="7">
        <v>15</v>
      </c>
      <c r="B16" s="7" t="s">
        <v>27</v>
      </c>
      <c r="C16" s="7" t="s">
        <v>121</v>
      </c>
      <c r="D16" s="7" t="s">
        <v>122</v>
      </c>
      <c r="E16" s="7" t="s">
        <v>123</v>
      </c>
      <c r="F16" s="7" t="s">
        <v>112</v>
      </c>
      <c r="G16" s="7" t="s">
        <v>124</v>
      </c>
      <c r="H16" s="8" t="s">
        <v>59</v>
      </c>
      <c r="I16" s="8">
        <v>2</v>
      </c>
      <c r="J16" s="8" t="s">
        <v>60</v>
      </c>
      <c r="K16" s="8" t="s">
        <v>61</v>
      </c>
      <c r="L16" s="9"/>
      <c r="M16" s="9"/>
      <c r="N16" s="9"/>
      <c r="O16" s="7"/>
    </row>
    <row r="17" spans="1:15" ht="26.85" customHeight="1">
      <c r="A17" s="7">
        <v>16</v>
      </c>
      <c r="B17" s="7" t="s">
        <v>27</v>
      </c>
      <c r="C17" s="7" t="s">
        <v>125</v>
      </c>
      <c r="D17" s="7" t="s">
        <v>126</v>
      </c>
      <c r="E17" s="7" t="s">
        <v>127</v>
      </c>
      <c r="F17" s="7" t="s">
        <v>112</v>
      </c>
      <c r="G17" s="7" t="s">
        <v>128</v>
      </c>
      <c r="H17" s="8" t="s">
        <v>59</v>
      </c>
      <c r="I17" s="8">
        <v>2</v>
      </c>
      <c r="J17" s="8" t="s">
        <v>60</v>
      </c>
      <c r="K17" s="8" t="s">
        <v>61</v>
      </c>
      <c r="L17" s="9"/>
      <c r="M17" s="9"/>
      <c r="N17" s="9"/>
      <c r="O17" s="7"/>
    </row>
    <row r="18" spans="1:15" ht="70.349999999999994" customHeight="1">
      <c r="A18" s="7">
        <v>17</v>
      </c>
      <c r="B18" s="7" t="s">
        <v>27</v>
      </c>
      <c r="C18" s="7" t="s">
        <v>129</v>
      </c>
      <c r="D18" s="7" t="s">
        <v>130</v>
      </c>
      <c r="E18" s="7" t="s">
        <v>131</v>
      </c>
      <c r="F18" s="7" t="s">
        <v>112</v>
      </c>
      <c r="G18" s="7" t="s">
        <v>132</v>
      </c>
      <c r="H18" s="8" t="s">
        <v>59</v>
      </c>
      <c r="I18" s="8">
        <v>2</v>
      </c>
      <c r="J18" s="8" t="s">
        <v>60</v>
      </c>
      <c r="K18" s="8" t="s">
        <v>61</v>
      </c>
      <c r="L18" s="9"/>
      <c r="M18" s="9"/>
      <c r="N18" s="9"/>
      <c r="O18" s="7"/>
    </row>
    <row r="19" spans="1:15" ht="26.85" customHeight="1">
      <c r="A19" s="7">
        <v>18</v>
      </c>
      <c r="B19" s="7" t="s">
        <v>27</v>
      </c>
      <c r="C19" s="7" t="s">
        <v>133</v>
      </c>
      <c r="D19" s="7" t="s">
        <v>134</v>
      </c>
      <c r="E19" s="7" t="s">
        <v>135</v>
      </c>
      <c r="F19" s="7" t="s">
        <v>136</v>
      </c>
      <c r="G19" s="7" t="s">
        <v>137</v>
      </c>
      <c r="H19" s="8" t="s">
        <v>59</v>
      </c>
      <c r="I19" s="8">
        <v>2</v>
      </c>
      <c r="J19" s="8" t="s">
        <v>60</v>
      </c>
      <c r="K19" s="8" t="s">
        <v>61</v>
      </c>
      <c r="L19" s="9"/>
      <c r="M19" s="9"/>
      <c r="N19" s="9"/>
      <c r="O19" s="7"/>
    </row>
    <row r="20" spans="1:15" ht="70.349999999999994" customHeight="1">
      <c r="A20" s="7">
        <v>19</v>
      </c>
      <c r="B20" s="7" t="s">
        <v>27</v>
      </c>
      <c r="C20" s="7" t="s">
        <v>138</v>
      </c>
      <c r="D20" s="7" t="s">
        <v>139</v>
      </c>
      <c r="E20" s="7" t="s">
        <v>140</v>
      </c>
      <c r="F20" s="7" t="s">
        <v>117</v>
      </c>
      <c r="G20" s="7" t="s">
        <v>141</v>
      </c>
      <c r="H20" s="8" t="s">
        <v>59</v>
      </c>
      <c r="I20" s="8">
        <v>2</v>
      </c>
      <c r="J20" s="8" t="s">
        <v>60</v>
      </c>
      <c r="K20" s="8" t="s">
        <v>61</v>
      </c>
      <c r="L20" s="9"/>
      <c r="M20" s="9"/>
      <c r="N20" s="9"/>
      <c r="O20" s="7"/>
    </row>
    <row r="21" spans="1:15" ht="26.85" customHeight="1">
      <c r="A21" s="7">
        <v>20</v>
      </c>
      <c r="B21" s="7" t="s">
        <v>27</v>
      </c>
      <c r="C21" s="7" t="s">
        <v>142</v>
      </c>
      <c r="D21" s="7" t="s">
        <v>143</v>
      </c>
      <c r="E21" s="7" t="s">
        <v>144</v>
      </c>
      <c r="F21" s="7" t="s">
        <v>145</v>
      </c>
      <c r="G21" s="7" t="s">
        <v>146</v>
      </c>
      <c r="H21" s="8" t="s">
        <v>59</v>
      </c>
      <c r="I21" s="8">
        <v>2</v>
      </c>
      <c r="J21" s="8" t="s">
        <v>60</v>
      </c>
      <c r="K21" s="8" t="s">
        <v>61</v>
      </c>
      <c r="L21" s="9"/>
      <c r="M21" s="9"/>
      <c r="N21" s="9"/>
      <c r="O21" s="7"/>
    </row>
    <row r="22" spans="1:15" ht="70.349999999999994" customHeight="1">
      <c r="A22" s="7">
        <v>21</v>
      </c>
      <c r="B22" s="7" t="s">
        <v>27</v>
      </c>
      <c r="C22" s="7" t="s">
        <v>142</v>
      </c>
      <c r="D22" s="7" t="s">
        <v>147</v>
      </c>
      <c r="E22" s="7" t="s">
        <v>805</v>
      </c>
      <c r="F22" s="7" t="s">
        <v>145</v>
      </c>
      <c r="G22" s="7" t="s">
        <v>148</v>
      </c>
      <c r="H22" s="8" t="s">
        <v>59</v>
      </c>
      <c r="I22" s="8">
        <v>2</v>
      </c>
      <c r="J22" s="8" t="s">
        <v>60</v>
      </c>
      <c r="K22" s="8" t="s">
        <v>61</v>
      </c>
      <c r="L22" s="9"/>
      <c r="M22" s="9"/>
      <c r="N22" s="9"/>
      <c r="O22" s="7"/>
    </row>
    <row r="23" spans="1:15" ht="47.1" customHeight="1">
      <c r="A23" s="7">
        <v>22</v>
      </c>
      <c r="B23" s="7" t="s">
        <v>27</v>
      </c>
      <c r="C23" s="7" t="s">
        <v>142</v>
      </c>
      <c r="D23" s="7" t="s">
        <v>149</v>
      </c>
      <c r="E23" s="7" t="s">
        <v>150</v>
      </c>
      <c r="F23" s="7" t="s">
        <v>145</v>
      </c>
      <c r="G23" s="7" t="s">
        <v>151</v>
      </c>
      <c r="H23" s="8" t="s">
        <v>59</v>
      </c>
      <c r="I23" s="8">
        <v>2</v>
      </c>
      <c r="J23" s="8" t="s">
        <v>60</v>
      </c>
      <c r="K23" s="8" t="s">
        <v>61</v>
      </c>
      <c r="L23" s="9"/>
      <c r="M23" s="9"/>
      <c r="N23" s="9"/>
      <c r="O23" s="7"/>
    </row>
    <row r="24" spans="1:15" ht="47.1" customHeight="1">
      <c r="A24" s="7">
        <v>23</v>
      </c>
      <c r="B24" s="7" t="s">
        <v>27</v>
      </c>
      <c r="C24" s="7" t="s">
        <v>142</v>
      </c>
      <c r="D24" s="7" t="s">
        <v>152</v>
      </c>
      <c r="E24" s="7" t="s">
        <v>153</v>
      </c>
      <c r="F24" s="7" t="s">
        <v>145</v>
      </c>
      <c r="G24" s="7" t="s">
        <v>154</v>
      </c>
      <c r="H24" s="8" t="s">
        <v>59</v>
      </c>
      <c r="I24" s="8">
        <v>2</v>
      </c>
      <c r="J24" s="8" t="s">
        <v>60</v>
      </c>
      <c r="K24" s="8" t="s">
        <v>61</v>
      </c>
      <c r="L24" s="9"/>
      <c r="M24" s="9"/>
      <c r="N24" s="9"/>
      <c r="O24" s="7"/>
    </row>
    <row r="25" spans="1:15" ht="26.85" customHeight="1">
      <c r="A25" s="7">
        <v>24</v>
      </c>
      <c r="B25" s="7" t="s">
        <v>27</v>
      </c>
      <c r="C25" s="7" t="s">
        <v>133</v>
      </c>
      <c r="D25" s="7" t="s">
        <v>155</v>
      </c>
      <c r="E25" s="7" t="s">
        <v>156</v>
      </c>
      <c r="F25" s="7" t="s">
        <v>157</v>
      </c>
      <c r="G25" s="7" t="s">
        <v>158</v>
      </c>
      <c r="H25" s="8" t="s">
        <v>59</v>
      </c>
      <c r="I25" s="8">
        <v>2</v>
      </c>
      <c r="J25" s="8" t="s">
        <v>60</v>
      </c>
      <c r="K25" s="8" t="s">
        <v>61</v>
      </c>
      <c r="L25" s="9"/>
      <c r="M25" s="9"/>
      <c r="N25" s="9"/>
      <c r="O25" s="7"/>
    </row>
    <row r="26" spans="1:15" ht="70.349999999999994" customHeight="1">
      <c r="A26" s="7">
        <v>25</v>
      </c>
      <c r="B26" s="7" t="s">
        <v>27</v>
      </c>
      <c r="C26" s="7" t="s">
        <v>159</v>
      </c>
      <c r="D26" s="7" t="s">
        <v>160</v>
      </c>
      <c r="E26" s="7" t="s">
        <v>806</v>
      </c>
      <c r="F26" s="7" t="s">
        <v>161</v>
      </c>
      <c r="G26" s="7" t="s">
        <v>162</v>
      </c>
      <c r="H26" s="8" t="s">
        <v>59</v>
      </c>
      <c r="I26" s="8">
        <v>2</v>
      </c>
      <c r="J26" s="8" t="s">
        <v>60</v>
      </c>
      <c r="K26" s="8" t="s">
        <v>61</v>
      </c>
      <c r="L26" s="9"/>
      <c r="M26" s="9"/>
      <c r="N26" s="9"/>
      <c r="O26" s="7"/>
    </row>
    <row r="27" spans="1:15" ht="47.1" customHeight="1">
      <c r="A27" s="7">
        <v>26</v>
      </c>
      <c r="B27" s="7" t="s">
        <v>28</v>
      </c>
      <c r="C27" s="7" t="s">
        <v>163</v>
      </c>
      <c r="D27" s="7" t="s">
        <v>164</v>
      </c>
      <c r="E27" s="7" t="s">
        <v>165</v>
      </c>
      <c r="F27" s="7" t="s">
        <v>166</v>
      </c>
      <c r="G27" s="7" t="s">
        <v>167</v>
      </c>
      <c r="H27" s="8" t="s">
        <v>59</v>
      </c>
      <c r="I27" s="8">
        <v>3</v>
      </c>
      <c r="J27" s="8" t="s">
        <v>60</v>
      </c>
      <c r="K27" s="8" t="s">
        <v>61</v>
      </c>
      <c r="L27" s="9"/>
      <c r="M27" s="9"/>
      <c r="N27" s="9"/>
      <c r="O27" s="7" t="s">
        <v>168</v>
      </c>
    </row>
    <row r="28" spans="1:15" ht="26.85" customHeight="1">
      <c r="A28" s="7">
        <v>27</v>
      </c>
      <c r="B28" s="7" t="s">
        <v>28</v>
      </c>
      <c r="C28" s="7" t="s">
        <v>169</v>
      </c>
      <c r="D28" s="7" t="s">
        <v>170</v>
      </c>
      <c r="E28" s="7" t="s">
        <v>171</v>
      </c>
      <c r="F28" s="7" t="s">
        <v>172</v>
      </c>
      <c r="G28" s="7" t="s">
        <v>173</v>
      </c>
      <c r="H28" s="8" t="s">
        <v>59</v>
      </c>
      <c r="I28" s="8">
        <v>2</v>
      </c>
      <c r="J28" s="8" t="s">
        <v>60</v>
      </c>
      <c r="K28" s="8" t="s">
        <v>61</v>
      </c>
      <c r="L28" s="9"/>
      <c r="M28" s="9"/>
      <c r="N28" s="9"/>
      <c r="O28" s="7"/>
    </row>
    <row r="29" spans="1:15" ht="26.85" customHeight="1">
      <c r="A29" s="7">
        <v>28</v>
      </c>
      <c r="B29" s="7" t="s">
        <v>28</v>
      </c>
      <c r="C29" s="7" t="s">
        <v>169</v>
      </c>
      <c r="D29" s="7" t="s">
        <v>174</v>
      </c>
      <c r="E29" s="7" t="s">
        <v>175</v>
      </c>
      <c r="F29" s="7" t="s">
        <v>176</v>
      </c>
      <c r="G29" s="7" t="s">
        <v>177</v>
      </c>
      <c r="H29" s="8" t="s">
        <v>59</v>
      </c>
      <c r="I29" s="8">
        <v>2</v>
      </c>
      <c r="J29" s="8" t="s">
        <v>60</v>
      </c>
      <c r="K29" s="8" t="s">
        <v>61</v>
      </c>
      <c r="L29" s="9"/>
      <c r="M29" s="9"/>
      <c r="N29" s="9"/>
      <c r="O29" s="7"/>
    </row>
    <row r="30" spans="1:15" ht="26.85" customHeight="1">
      <c r="A30" s="7">
        <v>29</v>
      </c>
      <c r="B30" s="7" t="s">
        <v>28</v>
      </c>
      <c r="C30" s="7" t="s">
        <v>169</v>
      </c>
      <c r="D30" s="7" t="s">
        <v>178</v>
      </c>
      <c r="E30" s="7" t="s">
        <v>179</v>
      </c>
      <c r="F30" s="7" t="s">
        <v>176</v>
      </c>
      <c r="G30" s="7" t="s">
        <v>177</v>
      </c>
      <c r="H30" s="8" t="s">
        <v>59</v>
      </c>
      <c r="I30" s="8">
        <v>2</v>
      </c>
      <c r="J30" s="8" t="s">
        <v>60</v>
      </c>
      <c r="K30" s="8" t="s">
        <v>61</v>
      </c>
      <c r="L30" s="9"/>
      <c r="M30" s="9"/>
      <c r="N30" s="9"/>
      <c r="O30" s="7"/>
    </row>
    <row r="31" spans="1:15" ht="70.349999999999994" customHeight="1">
      <c r="A31" s="7">
        <v>30</v>
      </c>
      <c r="B31" s="7" t="s">
        <v>28</v>
      </c>
      <c r="C31" s="7" t="s">
        <v>169</v>
      </c>
      <c r="D31" s="7" t="s">
        <v>180</v>
      </c>
      <c r="E31" s="7" t="s">
        <v>181</v>
      </c>
      <c r="F31" s="7" t="s">
        <v>176</v>
      </c>
      <c r="G31" s="7" t="s">
        <v>177</v>
      </c>
      <c r="H31" s="8" t="s">
        <v>59</v>
      </c>
      <c r="I31" s="8">
        <v>2</v>
      </c>
      <c r="J31" s="8" t="s">
        <v>60</v>
      </c>
      <c r="K31" s="8" t="s">
        <v>61</v>
      </c>
      <c r="L31" s="9"/>
      <c r="M31" s="9"/>
      <c r="N31" s="9"/>
      <c r="O31" s="7"/>
    </row>
    <row r="32" spans="1:15" ht="26.85" customHeight="1">
      <c r="A32" s="7">
        <v>31</v>
      </c>
      <c r="B32" s="7" t="s">
        <v>28</v>
      </c>
      <c r="C32" s="7" t="s">
        <v>169</v>
      </c>
      <c r="D32" s="7" t="s">
        <v>182</v>
      </c>
      <c r="E32" s="7" t="s">
        <v>183</v>
      </c>
      <c r="F32" s="7" t="s">
        <v>176</v>
      </c>
      <c r="G32" s="7" t="s">
        <v>177</v>
      </c>
      <c r="H32" s="8" t="s">
        <v>59</v>
      </c>
      <c r="I32" s="8">
        <v>2</v>
      </c>
      <c r="J32" s="8" t="s">
        <v>60</v>
      </c>
      <c r="K32" s="8" t="s">
        <v>61</v>
      </c>
      <c r="L32" s="9"/>
      <c r="M32" s="9"/>
      <c r="N32" s="9"/>
      <c r="O32" s="7"/>
    </row>
    <row r="33" spans="1:15" ht="26.85" customHeight="1">
      <c r="A33" s="7">
        <v>32</v>
      </c>
      <c r="B33" s="7" t="s">
        <v>28</v>
      </c>
      <c r="C33" s="7" t="s">
        <v>169</v>
      </c>
      <c r="D33" s="7" t="s">
        <v>184</v>
      </c>
      <c r="E33" s="7" t="s">
        <v>185</v>
      </c>
      <c r="F33" s="7" t="s">
        <v>186</v>
      </c>
      <c r="G33" s="7" t="s">
        <v>177</v>
      </c>
      <c r="H33" s="8" t="s">
        <v>59</v>
      </c>
      <c r="I33" s="8">
        <v>2</v>
      </c>
      <c r="J33" s="8" t="s">
        <v>60</v>
      </c>
      <c r="K33" s="8" t="s">
        <v>61</v>
      </c>
      <c r="L33" s="9"/>
      <c r="M33" s="9"/>
      <c r="N33" s="9"/>
      <c r="O33" s="7"/>
    </row>
    <row r="34" spans="1:15" ht="47.1" customHeight="1">
      <c r="A34" s="7">
        <v>33</v>
      </c>
      <c r="B34" s="7" t="s">
        <v>28</v>
      </c>
      <c r="C34" s="7" t="s">
        <v>187</v>
      </c>
      <c r="D34" s="7" t="s">
        <v>188</v>
      </c>
      <c r="E34" s="7" t="s">
        <v>189</v>
      </c>
      <c r="F34" s="7" t="s">
        <v>190</v>
      </c>
      <c r="G34" s="7" t="s">
        <v>191</v>
      </c>
      <c r="H34" s="8" t="s">
        <v>59</v>
      </c>
      <c r="I34" s="8">
        <v>2</v>
      </c>
      <c r="J34" s="8" t="s">
        <v>81</v>
      </c>
      <c r="K34" s="8" t="s">
        <v>192</v>
      </c>
      <c r="L34" s="9"/>
      <c r="M34" s="9"/>
      <c r="N34" s="9"/>
      <c r="O34" s="7"/>
    </row>
    <row r="35" spans="1:15" ht="47.1" customHeight="1">
      <c r="A35" s="7">
        <v>34</v>
      </c>
      <c r="B35" s="7" t="s">
        <v>29</v>
      </c>
      <c r="C35" s="7" t="s">
        <v>193</v>
      </c>
      <c r="D35" s="7" t="s">
        <v>194</v>
      </c>
      <c r="E35" s="7" t="s">
        <v>195</v>
      </c>
      <c r="F35" s="7" t="s">
        <v>196</v>
      </c>
      <c r="G35" s="7" t="s">
        <v>197</v>
      </c>
      <c r="H35" s="8" t="s">
        <v>59</v>
      </c>
      <c r="I35" s="8">
        <v>2</v>
      </c>
      <c r="J35" s="8" t="s">
        <v>60</v>
      </c>
      <c r="K35" s="8" t="s">
        <v>61</v>
      </c>
      <c r="L35" s="9"/>
      <c r="M35" s="9"/>
      <c r="N35" s="9"/>
      <c r="O35" s="7"/>
    </row>
    <row r="36" spans="1:15" ht="70.349999999999994" customHeight="1">
      <c r="A36" s="7">
        <v>35</v>
      </c>
      <c r="B36" s="7" t="s">
        <v>29</v>
      </c>
      <c r="C36" s="7" t="s">
        <v>198</v>
      </c>
      <c r="D36" s="7" t="s">
        <v>199</v>
      </c>
      <c r="E36" s="7" t="s">
        <v>200</v>
      </c>
      <c r="F36" s="7" t="s">
        <v>201</v>
      </c>
      <c r="G36" s="7" t="s">
        <v>202</v>
      </c>
      <c r="H36" s="8" t="s">
        <v>59</v>
      </c>
      <c r="I36" s="8">
        <v>2</v>
      </c>
      <c r="J36" s="8" t="s">
        <v>60</v>
      </c>
      <c r="K36" s="8" t="s">
        <v>61</v>
      </c>
      <c r="L36" s="9"/>
      <c r="M36" s="9"/>
      <c r="N36" s="9"/>
      <c r="O36" s="7"/>
    </row>
    <row r="37" spans="1:15" ht="47.1" customHeight="1">
      <c r="A37" s="7">
        <v>36</v>
      </c>
      <c r="B37" s="7" t="s">
        <v>29</v>
      </c>
      <c r="C37" s="7" t="s">
        <v>203</v>
      </c>
      <c r="D37" s="7" t="s">
        <v>204</v>
      </c>
      <c r="E37" s="7" t="s">
        <v>205</v>
      </c>
      <c r="F37" s="7" t="s">
        <v>206</v>
      </c>
      <c r="G37" s="7" t="s">
        <v>207</v>
      </c>
      <c r="H37" s="8" t="s">
        <v>59</v>
      </c>
      <c r="I37" s="8">
        <v>2</v>
      </c>
      <c r="J37" s="8" t="s">
        <v>60</v>
      </c>
      <c r="K37" s="8" t="s">
        <v>61</v>
      </c>
      <c r="L37" s="9"/>
      <c r="M37" s="9"/>
      <c r="N37" s="9"/>
      <c r="O37" s="7"/>
    </row>
    <row r="38" spans="1:15" ht="47.1" customHeight="1">
      <c r="A38" s="7">
        <v>37</v>
      </c>
      <c r="B38" s="7" t="s">
        <v>29</v>
      </c>
      <c r="C38" s="7" t="s">
        <v>208</v>
      </c>
      <c r="D38" s="7" t="s">
        <v>209</v>
      </c>
      <c r="E38" s="7" t="s">
        <v>210</v>
      </c>
      <c r="F38" s="7" t="s">
        <v>211</v>
      </c>
      <c r="G38" s="7" t="s">
        <v>212</v>
      </c>
      <c r="H38" s="8" t="s">
        <v>59</v>
      </c>
      <c r="I38" s="8">
        <v>2</v>
      </c>
      <c r="J38" s="8" t="s">
        <v>60</v>
      </c>
      <c r="K38" s="8" t="s">
        <v>61</v>
      </c>
      <c r="L38" s="9"/>
      <c r="M38" s="9"/>
      <c r="N38" s="9"/>
      <c r="O38" s="7"/>
    </row>
    <row r="39" spans="1:15" ht="70.349999999999994" customHeight="1">
      <c r="A39" s="7">
        <v>38</v>
      </c>
      <c r="B39" s="7" t="s">
        <v>29</v>
      </c>
      <c r="C39" s="7" t="s">
        <v>213</v>
      </c>
      <c r="D39" s="7" t="s">
        <v>214</v>
      </c>
      <c r="E39" s="7" t="s">
        <v>215</v>
      </c>
      <c r="F39" s="7" t="s">
        <v>216</v>
      </c>
      <c r="G39" s="7" t="s">
        <v>217</v>
      </c>
      <c r="H39" s="8" t="s">
        <v>59</v>
      </c>
      <c r="I39" s="8">
        <v>2</v>
      </c>
      <c r="J39" s="8" t="s">
        <v>60</v>
      </c>
      <c r="K39" s="8" t="s">
        <v>61</v>
      </c>
      <c r="L39" s="9"/>
      <c r="M39" s="9"/>
      <c r="N39" s="9"/>
      <c r="O39" s="7"/>
    </row>
    <row r="40" spans="1:15" ht="26.85" customHeight="1">
      <c r="A40" s="7">
        <v>39</v>
      </c>
      <c r="B40" s="7" t="s">
        <v>29</v>
      </c>
      <c r="C40" s="7" t="s">
        <v>218</v>
      </c>
      <c r="D40" s="7" t="s">
        <v>219</v>
      </c>
      <c r="E40" s="7" t="s">
        <v>220</v>
      </c>
      <c r="F40" s="7" t="s">
        <v>221</v>
      </c>
      <c r="G40" s="7" t="s">
        <v>222</v>
      </c>
      <c r="H40" s="8" t="s">
        <v>59</v>
      </c>
      <c r="I40" s="8">
        <v>2</v>
      </c>
      <c r="J40" s="8" t="s">
        <v>60</v>
      </c>
      <c r="K40" s="8" t="s">
        <v>61</v>
      </c>
      <c r="L40" s="9"/>
      <c r="M40" s="9"/>
      <c r="N40" s="9"/>
      <c r="O40" s="7"/>
    </row>
    <row r="41" spans="1:15" ht="26.85" customHeight="1">
      <c r="A41" s="7">
        <v>40</v>
      </c>
      <c r="B41" s="7" t="s">
        <v>29</v>
      </c>
      <c r="C41" s="7" t="s">
        <v>223</v>
      </c>
      <c r="D41" s="7" t="s">
        <v>224</v>
      </c>
      <c r="E41" s="7" t="s">
        <v>225</v>
      </c>
      <c r="F41" s="7" t="s">
        <v>196</v>
      </c>
      <c r="G41" s="7" t="s">
        <v>226</v>
      </c>
      <c r="H41" s="8" t="s">
        <v>59</v>
      </c>
      <c r="I41" s="8">
        <v>2</v>
      </c>
      <c r="J41" s="8" t="s">
        <v>60</v>
      </c>
      <c r="K41" s="8" t="s">
        <v>61</v>
      </c>
      <c r="L41" s="9"/>
      <c r="M41" s="9"/>
      <c r="N41" s="9"/>
      <c r="O41" s="7"/>
    </row>
    <row r="42" spans="1:15" ht="26.85" customHeight="1">
      <c r="A42" s="7">
        <v>41</v>
      </c>
      <c r="B42" s="7" t="s">
        <v>29</v>
      </c>
      <c r="C42" s="7" t="s">
        <v>227</v>
      </c>
      <c r="D42" s="7" t="s">
        <v>228</v>
      </c>
      <c r="E42" s="7" t="s">
        <v>229</v>
      </c>
      <c r="F42" s="7" t="s">
        <v>230</v>
      </c>
      <c r="G42" s="7" t="s">
        <v>231</v>
      </c>
      <c r="H42" s="8" t="s">
        <v>59</v>
      </c>
      <c r="I42" s="8">
        <v>2</v>
      </c>
      <c r="J42" s="8" t="s">
        <v>60</v>
      </c>
      <c r="K42" s="8" t="s">
        <v>61</v>
      </c>
      <c r="L42" s="9"/>
      <c r="M42" s="9"/>
      <c r="N42" s="9"/>
      <c r="O42" s="7"/>
    </row>
    <row r="43" spans="1:15" ht="70.349999999999994" customHeight="1">
      <c r="A43" s="7">
        <v>42</v>
      </c>
      <c r="B43" s="7" t="s">
        <v>30</v>
      </c>
      <c r="C43" s="7" t="s">
        <v>232</v>
      </c>
      <c r="D43" s="7" t="s">
        <v>233</v>
      </c>
      <c r="E43" s="7" t="s">
        <v>234</v>
      </c>
      <c r="F43" s="7" t="s">
        <v>235</v>
      </c>
      <c r="G43" s="7" t="s">
        <v>236</v>
      </c>
      <c r="H43" s="8" t="s">
        <v>59</v>
      </c>
      <c r="I43" s="8">
        <v>2</v>
      </c>
      <c r="J43" s="8" t="s">
        <v>60</v>
      </c>
      <c r="K43" s="8" t="s">
        <v>61</v>
      </c>
      <c r="L43" s="9"/>
      <c r="M43" s="9"/>
      <c r="N43" s="9"/>
      <c r="O43" s="7"/>
    </row>
    <row r="44" spans="1:15" ht="47.1" customHeight="1">
      <c r="A44" s="7">
        <v>43</v>
      </c>
      <c r="B44" s="7" t="s">
        <v>30</v>
      </c>
      <c r="C44" s="7" t="s">
        <v>237</v>
      </c>
      <c r="D44" s="7" t="s">
        <v>238</v>
      </c>
      <c r="E44" s="7" t="s">
        <v>239</v>
      </c>
      <c r="F44" s="7" t="s">
        <v>121</v>
      </c>
      <c r="G44" s="7" t="s">
        <v>240</v>
      </c>
      <c r="H44" s="8" t="s">
        <v>59</v>
      </c>
      <c r="I44" s="8">
        <v>2</v>
      </c>
      <c r="J44" s="8" t="s">
        <v>60</v>
      </c>
      <c r="K44" s="8" t="s">
        <v>61</v>
      </c>
      <c r="L44" s="9"/>
      <c r="M44" s="9"/>
      <c r="N44" s="9"/>
      <c r="O44" s="7"/>
    </row>
    <row r="45" spans="1:15" ht="47.1" customHeight="1">
      <c r="A45" s="7">
        <v>44</v>
      </c>
      <c r="B45" s="7" t="s">
        <v>30</v>
      </c>
      <c r="C45" s="7" t="s">
        <v>241</v>
      </c>
      <c r="D45" s="7" t="s">
        <v>242</v>
      </c>
      <c r="E45" s="7" t="s">
        <v>243</v>
      </c>
      <c r="F45" s="7" t="s">
        <v>244</v>
      </c>
      <c r="G45" s="7" t="s">
        <v>245</v>
      </c>
      <c r="H45" s="8" t="s">
        <v>59</v>
      </c>
      <c r="I45" s="8">
        <v>2</v>
      </c>
      <c r="J45" s="8" t="s">
        <v>60</v>
      </c>
      <c r="K45" s="8" t="s">
        <v>61</v>
      </c>
      <c r="L45" s="9"/>
      <c r="M45" s="9"/>
      <c r="N45" s="9"/>
      <c r="O45" s="7"/>
    </row>
    <row r="46" spans="1:15" ht="47.1" customHeight="1">
      <c r="A46" s="7">
        <v>45</v>
      </c>
      <c r="B46" s="7" t="s">
        <v>30</v>
      </c>
      <c r="C46" s="7" t="s">
        <v>246</v>
      </c>
      <c r="D46" s="7" t="s">
        <v>247</v>
      </c>
      <c r="E46" s="7" t="s">
        <v>248</v>
      </c>
      <c r="F46" s="7" t="s">
        <v>249</v>
      </c>
      <c r="G46" s="7" t="s">
        <v>250</v>
      </c>
      <c r="H46" s="8" t="s">
        <v>59</v>
      </c>
      <c r="I46" s="8">
        <v>2</v>
      </c>
      <c r="J46" s="8" t="s">
        <v>60</v>
      </c>
      <c r="K46" s="8" t="s">
        <v>61</v>
      </c>
      <c r="L46" s="9"/>
      <c r="M46" s="9"/>
      <c r="N46" s="9"/>
      <c r="O46" s="7"/>
    </row>
    <row r="47" spans="1:15" ht="26.85" customHeight="1">
      <c r="A47" s="7">
        <v>46</v>
      </c>
      <c r="B47" s="7" t="s">
        <v>30</v>
      </c>
      <c r="C47" s="7" t="s">
        <v>246</v>
      </c>
      <c r="D47" s="7" t="s">
        <v>251</v>
      </c>
      <c r="E47" s="7" t="s">
        <v>252</v>
      </c>
      <c r="F47" s="7" t="s">
        <v>253</v>
      </c>
      <c r="G47" s="7" t="s">
        <v>254</v>
      </c>
      <c r="H47" s="8" t="s">
        <v>59</v>
      </c>
      <c r="I47" s="8">
        <v>2</v>
      </c>
      <c r="J47" s="8" t="s">
        <v>60</v>
      </c>
      <c r="K47" s="8" t="s">
        <v>61</v>
      </c>
      <c r="L47" s="9"/>
      <c r="M47" s="9"/>
      <c r="N47" s="9"/>
      <c r="O47" s="7"/>
    </row>
    <row r="48" spans="1:15" ht="47.1" customHeight="1">
      <c r="A48" s="7">
        <v>47</v>
      </c>
      <c r="B48" s="7" t="s">
        <v>30</v>
      </c>
      <c r="C48" s="7" t="s">
        <v>255</v>
      </c>
      <c r="D48" s="7" t="s">
        <v>256</v>
      </c>
      <c r="E48" s="7" t="s">
        <v>257</v>
      </c>
      <c r="F48" s="7" t="s">
        <v>258</v>
      </c>
      <c r="G48" s="7" t="s">
        <v>259</v>
      </c>
      <c r="H48" s="8" t="s">
        <v>59</v>
      </c>
      <c r="I48" s="8">
        <v>2</v>
      </c>
      <c r="J48" s="8" t="s">
        <v>60</v>
      </c>
      <c r="K48" s="8" t="s">
        <v>61</v>
      </c>
      <c r="L48" s="9"/>
      <c r="M48" s="9"/>
      <c r="N48" s="9"/>
      <c r="O48" s="7"/>
    </row>
    <row r="49" spans="1:15" ht="26.85" customHeight="1">
      <c r="A49" s="7">
        <v>48</v>
      </c>
      <c r="B49" s="7" t="s">
        <v>30</v>
      </c>
      <c r="C49" s="7" t="s">
        <v>255</v>
      </c>
      <c r="D49" s="7" t="s">
        <v>260</v>
      </c>
      <c r="E49" s="7" t="s">
        <v>261</v>
      </c>
      <c r="F49" s="7" t="s">
        <v>258</v>
      </c>
      <c r="G49" s="7" t="s">
        <v>262</v>
      </c>
      <c r="H49" s="8" t="s">
        <v>59</v>
      </c>
      <c r="I49" s="8">
        <v>2</v>
      </c>
      <c r="J49" s="8" t="s">
        <v>60</v>
      </c>
      <c r="K49" s="8" t="s">
        <v>61</v>
      </c>
      <c r="L49" s="9"/>
      <c r="M49" s="9"/>
      <c r="N49" s="9"/>
      <c r="O49" s="7"/>
    </row>
    <row r="50" spans="1:15" ht="47.1" customHeight="1">
      <c r="A50" s="7">
        <v>49</v>
      </c>
      <c r="B50" s="7" t="s">
        <v>30</v>
      </c>
      <c r="C50" s="7" t="s">
        <v>263</v>
      </c>
      <c r="D50" s="7" t="s">
        <v>264</v>
      </c>
      <c r="E50" s="7" t="s">
        <v>265</v>
      </c>
      <c r="F50" s="7" t="s">
        <v>266</v>
      </c>
      <c r="G50" s="7" t="s">
        <v>267</v>
      </c>
      <c r="H50" s="8" t="s">
        <v>59</v>
      </c>
      <c r="I50" s="8">
        <v>2</v>
      </c>
      <c r="J50" s="8" t="s">
        <v>60</v>
      </c>
      <c r="K50" s="8" t="s">
        <v>61</v>
      </c>
      <c r="L50" s="9"/>
      <c r="M50" s="9"/>
      <c r="N50" s="9"/>
      <c r="O50" s="7"/>
    </row>
    <row r="51" spans="1:15" ht="47.1" customHeight="1">
      <c r="A51" s="7">
        <v>50</v>
      </c>
      <c r="B51" s="7" t="s">
        <v>30</v>
      </c>
      <c r="C51" s="7" t="s">
        <v>268</v>
      </c>
      <c r="D51" s="7" t="s">
        <v>269</v>
      </c>
      <c r="E51" s="7" t="s">
        <v>270</v>
      </c>
      <c r="F51" s="7" t="s">
        <v>271</v>
      </c>
      <c r="G51" s="7" t="s">
        <v>272</v>
      </c>
      <c r="H51" s="8" t="s">
        <v>59</v>
      </c>
      <c r="I51" s="8">
        <v>2</v>
      </c>
      <c r="J51" s="8" t="s">
        <v>60</v>
      </c>
      <c r="K51" s="8" t="s">
        <v>61</v>
      </c>
      <c r="L51" s="9"/>
      <c r="M51" s="9"/>
      <c r="N51" s="9"/>
      <c r="O51" s="7"/>
    </row>
    <row r="52" spans="1:15" ht="26.85" customHeight="1">
      <c r="A52" s="7">
        <v>51</v>
      </c>
      <c r="B52" s="7" t="s">
        <v>30</v>
      </c>
      <c r="C52" s="7" t="s">
        <v>273</v>
      </c>
      <c r="D52" s="7" t="s">
        <v>274</v>
      </c>
      <c r="E52" s="7" t="s">
        <v>275</v>
      </c>
      <c r="F52" s="7" t="s">
        <v>276</v>
      </c>
      <c r="G52" s="7" t="s">
        <v>277</v>
      </c>
      <c r="H52" s="8" t="s">
        <v>59</v>
      </c>
      <c r="I52" s="8">
        <v>2</v>
      </c>
      <c r="J52" s="8" t="s">
        <v>60</v>
      </c>
      <c r="K52" s="8" t="s">
        <v>61</v>
      </c>
      <c r="L52" s="9"/>
      <c r="M52" s="9"/>
      <c r="N52" s="9"/>
      <c r="O52" s="7"/>
    </row>
    <row r="53" spans="1:15" ht="26.85" customHeight="1">
      <c r="A53" s="7">
        <v>52</v>
      </c>
      <c r="B53" s="7" t="s">
        <v>30</v>
      </c>
      <c r="C53" s="7" t="s">
        <v>278</v>
      </c>
      <c r="D53" s="7" t="s">
        <v>279</v>
      </c>
      <c r="E53" s="7" t="s">
        <v>280</v>
      </c>
      <c r="F53" s="7" t="s">
        <v>281</v>
      </c>
      <c r="G53" s="7" t="s">
        <v>282</v>
      </c>
      <c r="H53" s="8" t="s">
        <v>59</v>
      </c>
      <c r="I53" s="8">
        <v>2</v>
      </c>
      <c r="J53" s="8" t="s">
        <v>60</v>
      </c>
      <c r="K53" s="8" t="s">
        <v>61</v>
      </c>
      <c r="L53" s="9"/>
      <c r="M53" s="9"/>
      <c r="N53" s="9"/>
      <c r="O53" s="7"/>
    </row>
    <row r="54" spans="1:15" ht="26.85" customHeight="1">
      <c r="A54" s="7">
        <v>53</v>
      </c>
      <c r="B54" s="7" t="s">
        <v>30</v>
      </c>
      <c r="C54" s="7" t="s">
        <v>283</v>
      </c>
      <c r="D54" s="7" t="s">
        <v>284</v>
      </c>
      <c r="E54" s="7" t="s">
        <v>285</v>
      </c>
      <c r="F54" s="7" t="s">
        <v>286</v>
      </c>
      <c r="G54" s="7" t="s">
        <v>287</v>
      </c>
      <c r="H54" s="8" t="s">
        <v>59</v>
      </c>
      <c r="I54" s="8">
        <v>2</v>
      </c>
      <c r="J54" s="8" t="s">
        <v>81</v>
      </c>
      <c r="K54" s="8" t="s">
        <v>192</v>
      </c>
      <c r="L54" s="9"/>
      <c r="M54" s="9"/>
      <c r="N54" s="9"/>
      <c r="O54" s="7"/>
    </row>
    <row r="55" spans="1:15" ht="47.1" customHeight="1">
      <c r="A55" s="7">
        <v>54</v>
      </c>
      <c r="B55" s="7" t="s">
        <v>31</v>
      </c>
      <c r="C55" s="7" t="s">
        <v>232</v>
      </c>
      <c r="D55" s="7" t="s">
        <v>807</v>
      </c>
      <c r="E55" s="7" t="s">
        <v>288</v>
      </c>
      <c r="F55" s="7" t="s">
        <v>289</v>
      </c>
      <c r="G55" s="7" t="s">
        <v>290</v>
      </c>
      <c r="H55" s="8" t="s">
        <v>59</v>
      </c>
      <c r="I55" s="8">
        <v>2</v>
      </c>
      <c r="J55" s="8" t="s">
        <v>60</v>
      </c>
      <c r="K55" s="8" t="s">
        <v>61</v>
      </c>
      <c r="L55" s="9"/>
      <c r="M55" s="9"/>
      <c r="N55" s="9"/>
      <c r="O55" s="7"/>
    </row>
    <row r="56" spans="1:15" ht="47.1" customHeight="1">
      <c r="A56" s="7">
        <v>55</v>
      </c>
      <c r="B56" s="7" t="s">
        <v>31</v>
      </c>
      <c r="C56" s="7" t="s">
        <v>41</v>
      </c>
      <c r="D56" s="7" t="s">
        <v>808</v>
      </c>
      <c r="E56" s="7" t="s">
        <v>291</v>
      </c>
      <c r="F56" s="7" t="s">
        <v>292</v>
      </c>
      <c r="G56" s="7" t="s">
        <v>293</v>
      </c>
      <c r="H56" s="8" t="s">
        <v>59</v>
      </c>
      <c r="I56" s="8">
        <v>2</v>
      </c>
      <c r="J56" s="8" t="s">
        <v>60</v>
      </c>
      <c r="K56" s="8" t="s">
        <v>61</v>
      </c>
      <c r="L56" s="9"/>
      <c r="M56" s="9"/>
      <c r="N56" s="9"/>
      <c r="O56" s="7"/>
    </row>
    <row r="57" spans="1:15" ht="47.1" customHeight="1">
      <c r="A57" s="7">
        <v>56</v>
      </c>
      <c r="B57" s="7" t="s">
        <v>31</v>
      </c>
      <c r="C57" s="7" t="s">
        <v>294</v>
      </c>
      <c r="D57" s="7" t="s">
        <v>295</v>
      </c>
      <c r="E57" s="7" t="s">
        <v>296</v>
      </c>
      <c r="F57" s="7" t="s">
        <v>297</v>
      </c>
      <c r="G57" s="7" t="s">
        <v>298</v>
      </c>
      <c r="H57" s="8" t="s">
        <v>59</v>
      </c>
      <c r="I57" s="8">
        <v>2</v>
      </c>
      <c r="J57" s="8" t="s">
        <v>60</v>
      </c>
      <c r="K57" s="8" t="s">
        <v>61</v>
      </c>
      <c r="L57" s="9"/>
      <c r="M57" s="9"/>
      <c r="N57" s="9"/>
      <c r="O57" s="7"/>
    </row>
    <row r="58" spans="1:15" ht="26.85" customHeight="1">
      <c r="A58" s="7">
        <v>57</v>
      </c>
      <c r="B58" s="7" t="s">
        <v>31</v>
      </c>
      <c r="C58" s="7" t="s">
        <v>299</v>
      </c>
      <c r="D58" s="7" t="s">
        <v>300</v>
      </c>
      <c r="E58" s="7" t="s">
        <v>301</v>
      </c>
      <c r="F58" s="7" t="s">
        <v>302</v>
      </c>
      <c r="G58" s="7" t="s">
        <v>303</v>
      </c>
      <c r="H58" s="8" t="s">
        <v>59</v>
      </c>
      <c r="I58" s="8">
        <v>2</v>
      </c>
      <c r="J58" s="8" t="s">
        <v>60</v>
      </c>
      <c r="K58" s="8" t="s">
        <v>61</v>
      </c>
      <c r="L58" s="9"/>
      <c r="M58" s="9"/>
      <c r="N58" s="9"/>
      <c r="O58" s="7"/>
    </row>
    <row r="59" spans="1:15" ht="26.85" customHeight="1">
      <c r="A59" s="7">
        <v>58</v>
      </c>
      <c r="B59" s="7" t="s">
        <v>31</v>
      </c>
      <c r="C59" s="7" t="s">
        <v>304</v>
      </c>
      <c r="D59" s="7" t="s">
        <v>305</v>
      </c>
      <c r="E59" s="7" t="s">
        <v>809</v>
      </c>
      <c r="F59" s="7" t="s">
        <v>810</v>
      </c>
      <c r="G59" s="7" t="s">
        <v>306</v>
      </c>
      <c r="H59" s="8" t="s">
        <v>59</v>
      </c>
      <c r="I59" s="8">
        <v>2</v>
      </c>
      <c r="J59" s="8" t="s">
        <v>60</v>
      </c>
      <c r="K59" s="8" t="s">
        <v>61</v>
      </c>
      <c r="L59" s="9"/>
      <c r="M59" s="9"/>
      <c r="N59" s="9"/>
      <c r="O59" s="7"/>
    </row>
    <row r="60" spans="1:15" ht="26.85" customHeight="1">
      <c r="A60" s="7">
        <v>59</v>
      </c>
      <c r="B60" s="7" t="s">
        <v>31</v>
      </c>
      <c r="C60" s="7" t="s">
        <v>304</v>
      </c>
      <c r="D60" s="7" t="s">
        <v>307</v>
      </c>
      <c r="E60" s="7" t="s">
        <v>811</v>
      </c>
      <c r="F60" s="7" t="s">
        <v>304</v>
      </c>
      <c r="G60" s="7" t="s">
        <v>308</v>
      </c>
      <c r="H60" s="8" t="s">
        <v>59</v>
      </c>
      <c r="I60" s="8">
        <v>2</v>
      </c>
      <c r="J60" s="8" t="s">
        <v>60</v>
      </c>
      <c r="K60" s="8" t="s">
        <v>61</v>
      </c>
      <c r="L60" s="9"/>
      <c r="M60" s="9"/>
      <c r="N60" s="9"/>
      <c r="O60" s="7"/>
    </row>
    <row r="61" spans="1:15" ht="47.1" customHeight="1">
      <c r="A61" s="7">
        <v>60</v>
      </c>
      <c r="B61" s="7" t="s">
        <v>31</v>
      </c>
      <c r="C61" s="7" t="s">
        <v>309</v>
      </c>
      <c r="D61" s="7" t="s">
        <v>310</v>
      </c>
      <c r="E61" s="7" t="s">
        <v>812</v>
      </c>
      <c r="F61" s="7" t="s">
        <v>304</v>
      </c>
      <c r="G61" s="7" t="s">
        <v>311</v>
      </c>
      <c r="H61" s="8" t="s">
        <v>59</v>
      </c>
      <c r="I61" s="8">
        <v>2</v>
      </c>
      <c r="J61" s="8" t="s">
        <v>60</v>
      </c>
      <c r="K61" s="8" t="s">
        <v>61</v>
      </c>
      <c r="L61" s="9"/>
      <c r="M61" s="9"/>
      <c r="N61" s="9"/>
      <c r="O61" s="7"/>
    </row>
    <row r="62" spans="1:15" ht="47.1" customHeight="1">
      <c r="A62" s="7">
        <v>61</v>
      </c>
      <c r="B62" s="7" t="s">
        <v>31</v>
      </c>
      <c r="C62" s="7" t="s">
        <v>312</v>
      </c>
      <c r="D62" s="7" t="s">
        <v>313</v>
      </c>
      <c r="E62" s="7" t="s">
        <v>314</v>
      </c>
      <c r="F62" s="7" t="s">
        <v>315</v>
      </c>
      <c r="G62" s="7" t="s">
        <v>316</v>
      </c>
      <c r="H62" s="8" t="s">
        <v>59</v>
      </c>
      <c r="I62" s="8">
        <v>2</v>
      </c>
      <c r="J62" s="8" t="s">
        <v>60</v>
      </c>
      <c r="K62" s="8" t="s">
        <v>61</v>
      </c>
      <c r="L62" s="9"/>
      <c r="M62" s="9"/>
      <c r="N62" s="9"/>
      <c r="O62" s="7"/>
    </row>
    <row r="63" spans="1:15" ht="26.85" customHeight="1">
      <c r="A63" s="7">
        <v>62</v>
      </c>
      <c r="B63" s="7" t="s">
        <v>31</v>
      </c>
      <c r="C63" s="7" t="s">
        <v>312</v>
      </c>
      <c r="D63" s="7" t="s">
        <v>317</v>
      </c>
      <c r="E63" s="7" t="s">
        <v>318</v>
      </c>
      <c r="F63" s="7" t="s">
        <v>319</v>
      </c>
      <c r="G63" s="7" t="s">
        <v>320</v>
      </c>
      <c r="H63" s="8" t="s">
        <v>59</v>
      </c>
      <c r="I63" s="8">
        <v>2</v>
      </c>
      <c r="J63" s="8" t="s">
        <v>60</v>
      </c>
      <c r="K63" s="8" t="s">
        <v>61</v>
      </c>
      <c r="L63" s="9"/>
      <c r="M63" s="9"/>
      <c r="N63" s="9"/>
      <c r="O63" s="7"/>
    </row>
    <row r="64" spans="1:15" ht="47.1" customHeight="1">
      <c r="A64" s="7">
        <v>63</v>
      </c>
      <c r="B64" s="7" t="s">
        <v>31</v>
      </c>
      <c r="C64" s="7" t="s">
        <v>312</v>
      </c>
      <c r="D64" s="7" t="s">
        <v>321</v>
      </c>
      <c r="E64" s="7" t="s">
        <v>322</v>
      </c>
      <c r="F64" s="7" t="s">
        <v>323</v>
      </c>
      <c r="G64" s="7" t="s">
        <v>324</v>
      </c>
      <c r="H64" s="8" t="s">
        <v>59</v>
      </c>
      <c r="I64" s="8">
        <v>2</v>
      </c>
      <c r="J64" s="8" t="s">
        <v>60</v>
      </c>
      <c r="K64" s="8" t="s">
        <v>61</v>
      </c>
      <c r="L64" s="9"/>
      <c r="M64" s="9"/>
      <c r="N64" s="9"/>
      <c r="O64" s="7"/>
    </row>
    <row r="65" spans="1:15" ht="26.85" customHeight="1">
      <c r="A65" s="7">
        <v>64</v>
      </c>
      <c r="B65" s="7" t="s">
        <v>31</v>
      </c>
      <c r="C65" s="7" t="s">
        <v>325</v>
      </c>
      <c r="D65" s="7" t="s">
        <v>326</v>
      </c>
      <c r="E65" s="7" t="s">
        <v>327</v>
      </c>
      <c r="F65" s="7" t="s">
        <v>328</v>
      </c>
      <c r="G65" s="7" t="s">
        <v>329</v>
      </c>
      <c r="H65" s="8" t="s">
        <v>59</v>
      </c>
      <c r="I65" s="8">
        <v>2</v>
      </c>
      <c r="J65" s="8" t="s">
        <v>60</v>
      </c>
      <c r="K65" s="8" t="s">
        <v>61</v>
      </c>
      <c r="L65" s="9"/>
      <c r="M65" s="9"/>
      <c r="N65" s="9"/>
      <c r="O65" s="7"/>
    </row>
    <row r="66" spans="1:15" ht="26.85" customHeight="1">
      <c r="A66" s="7">
        <v>65</v>
      </c>
      <c r="B66" s="7" t="s">
        <v>31</v>
      </c>
      <c r="C66" s="7" t="s">
        <v>273</v>
      </c>
      <c r="D66" s="7" t="s">
        <v>813</v>
      </c>
      <c r="E66" s="7" t="s">
        <v>814</v>
      </c>
      <c r="F66" s="7" t="s">
        <v>330</v>
      </c>
      <c r="G66" s="7" t="s">
        <v>815</v>
      </c>
      <c r="H66" s="8" t="s">
        <v>59</v>
      </c>
      <c r="I66" s="8">
        <v>2</v>
      </c>
      <c r="J66" s="8" t="s">
        <v>60</v>
      </c>
      <c r="K66" s="8" t="s">
        <v>61</v>
      </c>
      <c r="L66" s="9"/>
      <c r="M66" s="9"/>
      <c r="N66" s="9"/>
      <c r="O66" s="7"/>
    </row>
    <row r="67" spans="1:15" ht="26.85" customHeight="1">
      <c r="A67" s="7">
        <v>66</v>
      </c>
      <c r="B67" s="7" t="s">
        <v>31</v>
      </c>
      <c r="C67" s="7" t="s">
        <v>331</v>
      </c>
      <c r="D67" s="7" t="s">
        <v>332</v>
      </c>
      <c r="E67" s="7" t="s">
        <v>333</v>
      </c>
      <c r="F67" s="7" t="s">
        <v>334</v>
      </c>
      <c r="G67" s="7" t="s">
        <v>335</v>
      </c>
      <c r="H67" s="8" t="s">
        <v>59</v>
      </c>
      <c r="I67" s="8">
        <v>2</v>
      </c>
      <c r="J67" s="8" t="s">
        <v>60</v>
      </c>
      <c r="K67" s="8" t="s">
        <v>61</v>
      </c>
      <c r="L67" s="9"/>
      <c r="M67" s="9"/>
      <c r="N67" s="9"/>
      <c r="O67" s="7"/>
    </row>
    <row r="68" spans="1:15" ht="26.85" customHeight="1">
      <c r="A68" s="7">
        <v>67</v>
      </c>
      <c r="B68" s="7" t="s">
        <v>31</v>
      </c>
      <c r="C68" s="7" t="s">
        <v>283</v>
      </c>
      <c r="D68" s="7" t="s">
        <v>336</v>
      </c>
      <c r="E68" s="7" t="s">
        <v>337</v>
      </c>
      <c r="F68" s="7" t="s">
        <v>286</v>
      </c>
      <c r="G68" s="7" t="s">
        <v>287</v>
      </c>
      <c r="H68" s="8" t="s">
        <v>59</v>
      </c>
      <c r="I68" s="8">
        <v>2</v>
      </c>
      <c r="J68" s="8" t="s">
        <v>60</v>
      </c>
      <c r="K68" s="8" t="s">
        <v>61</v>
      </c>
      <c r="L68" s="9"/>
      <c r="M68" s="9"/>
      <c r="N68" s="9"/>
      <c r="O68" s="7"/>
    </row>
    <row r="69" spans="1:15" ht="47.1" customHeight="1">
      <c r="A69" s="7">
        <v>68</v>
      </c>
      <c r="B69" s="7" t="s">
        <v>32</v>
      </c>
      <c r="C69" s="7" t="s">
        <v>232</v>
      </c>
      <c r="D69" s="7" t="s">
        <v>338</v>
      </c>
      <c r="E69" s="7" t="s">
        <v>339</v>
      </c>
      <c r="F69" s="7" t="s">
        <v>340</v>
      </c>
      <c r="G69" s="7" t="s">
        <v>341</v>
      </c>
      <c r="H69" s="8" t="s">
        <v>59</v>
      </c>
      <c r="I69" s="8">
        <v>2</v>
      </c>
      <c r="J69" s="8" t="s">
        <v>60</v>
      </c>
      <c r="K69" s="8" t="s">
        <v>61</v>
      </c>
      <c r="L69" s="9"/>
      <c r="M69" s="9"/>
      <c r="N69" s="9"/>
      <c r="O69" s="7"/>
    </row>
    <row r="70" spans="1:15" ht="47.1" customHeight="1">
      <c r="A70" s="7">
        <v>69</v>
      </c>
      <c r="B70" s="7" t="s">
        <v>32</v>
      </c>
      <c r="C70" s="7" t="s">
        <v>342</v>
      </c>
      <c r="D70" s="7" t="s">
        <v>343</v>
      </c>
      <c r="E70" s="7" t="s">
        <v>344</v>
      </c>
      <c r="F70" s="7" t="s">
        <v>345</v>
      </c>
      <c r="G70" s="7" t="s">
        <v>346</v>
      </c>
      <c r="H70" s="8" t="s">
        <v>59</v>
      </c>
      <c r="I70" s="8">
        <v>2</v>
      </c>
      <c r="J70" s="8" t="s">
        <v>60</v>
      </c>
      <c r="K70" s="8" t="s">
        <v>61</v>
      </c>
      <c r="L70" s="9"/>
      <c r="M70" s="9"/>
      <c r="N70" s="9"/>
      <c r="O70" s="7"/>
    </row>
    <row r="71" spans="1:15" ht="70.349999999999994" customHeight="1">
      <c r="A71" s="7">
        <v>70</v>
      </c>
      <c r="B71" s="7" t="s">
        <v>32</v>
      </c>
      <c r="C71" s="7" t="s">
        <v>347</v>
      </c>
      <c r="D71" s="7" t="s">
        <v>348</v>
      </c>
      <c r="E71" s="7" t="s">
        <v>349</v>
      </c>
      <c r="F71" s="7" t="s">
        <v>350</v>
      </c>
      <c r="G71" s="7" t="s">
        <v>351</v>
      </c>
      <c r="H71" s="8" t="s">
        <v>59</v>
      </c>
      <c r="I71" s="8">
        <v>2</v>
      </c>
      <c r="J71" s="8" t="s">
        <v>60</v>
      </c>
      <c r="K71" s="8" t="s">
        <v>61</v>
      </c>
      <c r="L71" s="9"/>
      <c r="M71" s="9"/>
      <c r="N71" s="9"/>
      <c r="O71" s="7"/>
    </row>
    <row r="72" spans="1:15" ht="26.85" customHeight="1">
      <c r="A72" s="7">
        <v>71</v>
      </c>
      <c r="B72" s="7" t="s">
        <v>32</v>
      </c>
      <c r="C72" s="7" t="s">
        <v>352</v>
      </c>
      <c r="D72" s="7" t="s">
        <v>353</v>
      </c>
      <c r="E72" s="7" t="s">
        <v>354</v>
      </c>
      <c r="F72" s="7" t="s">
        <v>347</v>
      </c>
      <c r="G72" s="7" t="s">
        <v>355</v>
      </c>
      <c r="H72" s="8" t="s">
        <v>59</v>
      </c>
      <c r="I72" s="8">
        <v>2</v>
      </c>
      <c r="J72" s="8" t="s">
        <v>60</v>
      </c>
      <c r="K72" s="8" t="s">
        <v>61</v>
      </c>
      <c r="L72" s="9"/>
      <c r="M72" s="9"/>
      <c r="N72" s="9"/>
      <c r="O72" s="7"/>
    </row>
    <row r="73" spans="1:15" ht="26.85" customHeight="1">
      <c r="A73" s="7">
        <v>72</v>
      </c>
      <c r="B73" s="7" t="s">
        <v>32</v>
      </c>
      <c r="C73" s="7" t="s">
        <v>356</v>
      </c>
      <c r="D73" s="7" t="s">
        <v>357</v>
      </c>
      <c r="E73" s="7" t="s">
        <v>358</v>
      </c>
      <c r="F73" s="7" t="s">
        <v>359</v>
      </c>
      <c r="G73" s="7" t="s">
        <v>360</v>
      </c>
      <c r="H73" s="8" t="s">
        <v>59</v>
      </c>
      <c r="I73" s="8">
        <v>2</v>
      </c>
      <c r="J73" s="8" t="s">
        <v>60</v>
      </c>
      <c r="K73" s="8" t="s">
        <v>61</v>
      </c>
      <c r="L73" s="9"/>
      <c r="M73" s="9"/>
      <c r="N73" s="9"/>
      <c r="O73" s="7"/>
    </row>
    <row r="74" spans="1:15" ht="47.1" customHeight="1">
      <c r="A74" s="7">
        <v>73</v>
      </c>
      <c r="B74" s="7" t="s">
        <v>32</v>
      </c>
      <c r="C74" s="7" t="s">
        <v>361</v>
      </c>
      <c r="D74" s="7" t="s">
        <v>362</v>
      </c>
      <c r="E74" s="7" t="s">
        <v>816</v>
      </c>
      <c r="F74" s="7" t="s">
        <v>363</v>
      </c>
      <c r="G74" s="7" t="s">
        <v>364</v>
      </c>
      <c r="H74" s="8" t="s">
        <v>59</v>
      </c>
      <c r="I74" s="8">
        <v>2</v>
      </c>
      <c r="J74" s="8" t="s">
        <v>60</v>
      </c>
      <c r="K74" s="8" t="s">
        <v>61</v>
      </c>
      <c r="L74" s="9"/>
      <c r="M74" s="9"/>
      <c r="N74" s="9"/>
      <c r="O74" s="7"/>
    </row>
    <row r="75" spans="1:15" ht="70.349999999999994" customHeight="1">
      <c r="A75" s="7">
        <v>74</v>
      </c>
      <c r="B75" s="7" t="s">
        <v>32</v>
      </c>
      <c r="C75" s="7" t="s">
        <v>365</v>
      </c>
      <c r="D75" s="7" t="s">
        <v>366</v>
      </c>
      <c r="E75" s="7" t="s">
        <v>817</v>
      </c>
      <c r="F75" s="7" t="s">
        <v>367</v>
      </c>
      <c r="G75" s="7" t="s">
        <v>368</v>
      </c>
      <c r="H75" s="8" t="s">
        <v>59</v>
      </c>
      <c r="I75" s="8">
        <v>2</v>
      </c>
      <c r="J75" s="8" t="s">
        <v>60</v>
      </c>
      <c r="K75" s="8" t="s">
        <v>61</v>
      </c>
      <c r="L75" s="9"/>
      <c r="M75" s="9"/>
      <c r="N75" s="9"/>
      <c r="O75" s="7"/>
    </row>
    <row r="76" spans="1:15" ht="70.349999999999994" customHeight="1">
      <c r="A76" s="7">
        <v>75</v>
      </c>
      <c r="B76" s="7" t="s">
        <v>32</v>
      </c>
      <c r="C76" s="7" t="s">
        <v>369</v>
      </c>
      <c r="D76" s="7" t="s">
        <v>370</v>
      </c>
      <c r="E76" s="7" t="s">
        <v>371</v>
      </c>
      <c r="F76" s="7" t="s">
        <v>372</v>
      </c>
      <c r="G76" s="7" t="s">
        <v>373</v>
      </c>
      <c r="H76" s="8" t="s">
        <v>59</v>
      </c>
      <c r="I76" s="8">
        <v>2</v>
      </c>
      <c r="J76" s="8" t="s">
        <v>60</v>
      </c>
      <c r="K76" s="8" t="s">
        <v>61</v>
      </c>
      <c r="L76" s="9"/>
      <c r="M76" s="9"/>
      <c r="N76" s="9"/>
      <c r="O76" s="7"/>
    </row>
    <row r="77" spans="1:15" ht="26.85" customHeight="1">
      <c r="A77" s="7">
        <v>76</v>
      </c>
      <c r="B77" s="7" t="s">
        <v>32</v>
      </c>
      <c r="C77" s="7" t="s">
        <v>374</v>
      </c>
      <c r="D77" s="7" t="s">
        <v>375</v>
      </c>
      <c r="E77" s="7" t="s">
        <v>376</v>
      </c>
      <c r="F77" s="7" t="s">
        <v>352</v>
      </c>
      <c r="G77" s="7" t="s">
        <v>377</v>
      </c>
      <c r="H77" s="8" t="s">
        <v>59</v>
      </c>
      <c r="I77" s="8">
        <v>2</v>
      </c>
      <c r="J77" s="8" t="s">
        <v>60</v>
      </c>
      <c r="K77" s="8" t="s">
        <v>61</v>
      </c>
      <c r="L77" s="9"/>
      <c r="M77" s="9"/>
      <c r="N77" s="9"/>
      <c r="O77" s="7"/>
    </row>
    <row r="78" spans="1:15" ht="70.349999999999994" customHeight="1">
      <c r="A78" s="7">
        <v>77</v>
      </c>
      <c r="B78" s="7" t="s">
        <v>32</v>
      </c>
      <c r="C78" s="7" t="s">
        <v>378</v>
      </c>
      <c r="D78" s="7" t="s">
        <v>379</v>
      </c>
      <c r="E78" s="7" t="s">
        <v>818</v>
      </c>
      <c r="F78" s="7" t="s">
        <v>380</v>
      </c>
      <c r="G78" s="7" t="s">
        <v>381</v>
      </c>
      <c r="H78" s="8" t="s">
        <v>59</v>
      </c>
      <c r="I78" s="8">
        <v>2</v>
      </c>
      <c r="J78" s="8" t="s">
        <v>60</v>
      </c>
      <c r="K78" s="8" t="s">
        <v>61</v>
      </c>
      <c r="L78" s="9"/>
      <c r="M78" s="9"/>
      <c r="N78" s="9"/>
      <c r="O78" s="7"/>
    </row>
    <row r="79" spans="1:15" ht="47.1" customHeight="1">
      <c r="A79" s="7">
        <v>78</v>
      </c>
      <c r="B79" s="7" t="s">
        <v>32</v>
      </c>
      <c r="C79" s="7" t="s">
        <v>382</v>
      </c>
      <c r="D79" s="7" t="s">
        <v>383</v>
      </c>
      <c r="E79" s="7" t="s">
        <v>819</v>
      </c>
      <c r="F79" s="7" t="s">
        <v>384</v>
      </c>
      <c r="G79" s="7" t="s">
        <v>385</v>
      </c>
      <c r="H79" s="8" t="s">
        <v>59</v>
      </c>
      <c r="I79" s="8">
        <v>2</v>
      </c>
      <c r="J79" s="8" t="s">
        <v>60</v>
      </c>
      <c r="K79" s="8" t="s">
        <v>61</v>
      </c>
      <c r="L79" s="9"/>
      <c r="M79" s="9"/>
      <c r="N79" s="9"/>
      <c r="O79" s="7"/>
    </row>
    <row r="80" spans="1:15" ht="26.85" customHeight="1">
      <c r="A80" s="7">
        <v>79</v>
      </c>
      <c r="B80" s="7" t="s">
        <v>32</v>
      </c>
      <c r="C80" s="7" t="s">
        <v>386</v>
      </c>
      <c r="D80" s="7" t="s">
        <v>387</v>
      </c>
      <c r="E80" s="7" t="s">
        <v>388</v>
      </c>
      <c r="F80" s="7" t="s">
        <v>359</v>
      </c>
      <c r="G80" s="7" t="s">
        <v>389</v>
      </c>
      <c r="H80" s="8" t="s">
        <v>59</v>
      </c>
      <c r="I80" s="8">
        <v>2</v>
      </c>
      <c r="J80" s="8" t="s">
        <v>60</v>
      </c>
      <c r="K80" s="8" t="s">
        <v>61</v>
      </c>
      <c r="L80" s="9"/>
      <c r="M80" s="9"/>
      <c r="N80" s="9"/>
      <c r="O80" s="7"/>
    </row>
    <row r="81" spans="1:15" ht="47.1" customHeight="1">
      <c r="A81" s="7">
        <v>80</v>
      </c>
      <c r="B81" s="7" t="s">
        <v>32</v>
      </c>
      <c r="C81" s="7" t="s">
        <v>283</v>
      </c>
      <c r="D81" s="7" t="s">
        <v>390</v>
      </c>
      <c r="E81" s="7" t="s">
        <v>391</v>
      </c>
      <c r="F81" s="7" t="s">
        <v>286</v>
      </c>
      <c r="G81" s="7" t="s">
        <v>287</v>
      </c>
      <c r="H81" s="8" t="s">
        <v>59</v>
      </c>
      <c r="I81" s="8">
        <v>2</v>
      </c>
      <c r="J81" s="8" t="s">
        <v>81</v>
      </c>
      <c r="K81" s="8" t="s">
        <v>22</v>
      </c>
      <c r="L81" s="9"/>
      <c r="M81" s="9"/>
      <c r="N81" s="9"/>
      <c r="O81" s="7"/>
    </row>
    <row r="82" spans="1:15" ht="47.1" customHeight="1">
      <c r="A82" s="7">
        <v>81</v>
      </c>
      <c r="B82" s="7" t="s">
        <v>33</v>
      </c>
      <c r="C82" s="7" t="s">
        <v>232</v>
      </c>
      <c r="D82" s="7" t="s">
        <v>392</v>
      </c>
      <c r="E82" s="7" t="s">
        <v>393</v>
      </c>
      <c r="F82" s="7" t="s">
        <v>394</v>
      </c>
      <c r="G82" s="7" t="s">
        <v>341</v>
      </c>
      <c r="H82" s="8" t="s">
        <v>59</v>
      </c>
      <c r="I82" s="8">
        <v>2</v>
      </c>
      <c r="J82" s="8" t="s">
        <v>60</v>
      </c>
      <c r="K82" s="8" t="s">
        <v>61</v>
      </c>
      <c r="L82" s="9"/>
      <c r="M82" s="9"/>
      <c r="N82" s="9"/>
      <c r="O82" s="7"/>
    </row>
    <row r="83" spans="1:15" ht="47.1" customHeight="1">
      <c r="A83" s="7">
        <v>82</v>
      </c>
      <c r="B83" s="7" t="s">
        <v>33</v>
      </c>
      <c r="C83" s="7" t="s">
        <v>395</v>
      </c>
      <c r="D83" s="7" t="s">
        <v>396</v>
      </c>
      <c r="E83" s="7" t="s">
        <v>397</v>
      </c>
      <c r="F83" s="7" t="s">
        <v>398</v>
      </c>
      <c r="G83" s="7" t="s">
        <v>399</v>
      </c>
      <c r="H83" s="8" t="s">
        <v>59</v>
      </c>
      <c r="I83" s="8">
        <v>2</v>
      </c>
      <c r="J83" s="8" t="s">
        <v>60</v>
      </c>
      <c r="K83" s="8" t="s">
        <v>61</v>
      </c>
      <c r="L83" s="9"/>
      <c r="M83" s="9"/>
      <c r="N83" s="9"/>
      <c r="O83" s="7"/>
    </row>
    <row r="84" spans="1:15" ht="26.85" customHeight="1">
      <c r="A84" s="7">
        <v>83</v>
      </c>
      <c r="B84" s="7" t="s">
        <v>33</v>
      </c>
      <c r="C84" s="7" t="s">
        <v>400</v>
      </c>
      <c r="D84" s="7" t="s">
        <v>401</v>
      </c>
      <c r="E84" s="7" t="s">
        <v>402</v>
      </c>
      <c r="F84" s="7" t="s">
        <v>403</v>
      </c>
      <c r="G84" s="7" t="s">
        <v>404</v>
      </c>
      <c r="H84" s="8" t="s">
        <v>59</v>
      </c>
      <c r="I84" s="8">
        <v>2</v>
      </c>
      <c r="J84" s="8" t="s">
        <v>60</v>
      </c>
      <c r="K84" s="8" t="s">
        <v>61</v>
      </c>
      <c r="L84" s="9"/>
      <c r="M84" s="9"/>
      <c r="N84" s="9"/>
      <c r="O84" s="7"/>
    </row>
    <row r="85" spans="1:15" ht="26.85" customHeight="1">
      <c r="A85" s="7">
        <v>84</v>
      </c>
      <c r="B85" s="7" t="s">
        <v>33</v>
      </c>
      <c r="C85" s="7" t="s">
        <v>405</v>
      </c>
      <c r="D85" s="7" t="s">
        <v>406</v>
      </c>
      <c r="E85" s="7" t="s">
        <v>407</v>
      </c>
      <c r="F85" s="7" t="s">
        <v>408</v>
      </c>
      <c r="G85" s="7" t="s">
        <v>409</v>
      </c>
      <c r="H85" s="8" t="s">
        <v>59</v>
      </c>
      <c r="I85" s="8">
        <v>2</v>
      </c>
      <c r="J85" s="8" t="s">
        <v>60</v>
      </c>
      <c r="K85" s="8" t="s">
        <v>61</v>
      </c>
      <c r="L85" s="9"/>
      <c r="M85" s="9"/>
      <c r="N85" s="9"/>
      <c r="O85" s="7"/>
    </row>
    <row r="86" spans="1:15" ht="47.1" customHeight="1">
      <c r="A86" s="7">
        <v>85</v>
      </c>
      <c r="B86" s="7" t="s">
        <v>33</v>
      </c>
      <c r="C86" s="7" t="s">
        <v>133</v>
      </c>
      <c r="D86" s="7" t="s">
        <v>410</v>
      </c>
      <c r="E86" s="7" t="s">
        <v>411</v>
      </c>
      <c r="F86" s="7" t="s">
        <v>412</v>
      </c>
      <c r="G86" s="7" t="s">
        <v>413</v>
      </c>
      <c r="H86" s="8" t="s">
        <v>59</v>
      </c>
      <c r="I86" s="8">
        <v>2</v>
      </c>
      <c r="J86" s="8" t="s">
        <v>81</v>
      </c>
      <c r="K86" s="8" t="s">
        <v>22</v>
      </c>
      <c r="L86" s="9"/>
      <c r="M86" s="9"/>
      <c r="N86" s="9"/>
      <c r="O86" s="7"/>
    </row>
    <row r="87" spans="1:15" ht="47.1" customHeight="1">
      <c r="A87" s="7">
        <v>86</v>
      </c>
      <c r="B87" s="7" t="s">
        <v>33</v>
      </c>
      <c r="C87" s="7" t="s">
        <v>414</v>
      </c>
      <c r="D87" s="7" t="s">
        <v>415</v>
      </c>
      <c r="E87" s="7" t="s">
        <v>416</v>
      </c>
      <c r="F87" s="7" t="s">
        <v>417</v>
      </c>
      <c r="G87" s="7" t="s">
        <v>418</v>
      </c>
      <c r="H87" s="8" t="s">
        <v>59</v>
      </c>
      <c r="I87" s="8">
        <v>2</v>
      </c>
      <c r="J87" s="8" t="s">
        <v>60</v>
      </c>
      <c r="K87" s="8" t="s">
        <v>61</v>
      </c>
      <c r="L87" s="9"/>
      <c r="M87" s="9"/>
      <c r="N87" s="9"/>
      <c r="O87" s="7"/>
    </row>
    <row r="88" spans="1:15" ht="47.1" customHeight="1">
      <c r="A88" s="7">
        <v>87</v>
      </c>
      <c r="B88" s="7" t="s">
        <v>33</v>
      </c>
      <c r="C88" s="7" t="s">
        <v>419</v>
      </c>
      <c r="D88" s="7" t="s">
        <v>420</v>
      </c>
      <c r="E88" s="7" t="s">
        <v>421</v>
      </c>
      <c r="F88" s="7" t="s">
        <v>422</v>
      </c>
      <c r="G88" s="7" t="s">
        <v>423</v>
      </c>
      <c r="H88" s="8" t="s">
        <v>59</v>
      </c>
      <c r="I88" s="8">
        <v>2</v>
      </c>
      <c r="J88" s="8" t="s">
        <v>60</v>
      </c>
      <c r="K88" s="8" t="s">
        <v>61</v>
      </c>
      <c r="L88" s="9"/>
      <c r="M88" s="9"/>
      <c r="N88" s="9"/>
      <c r="O88" s="7"/>
    </row>
    <row r="89" spans="1:15" ht="47.1" customHeight="1">
      <c r="A89" s="7">
        <v>88</v>
      </c>
      <c r="B89" s="7" t="s">
        <v>33</v>
      </c>
      <c r="C89" s="7" t="s">
        <v>424</v>
      </c>
      <c r="D89" s="7" t="s">
        <v>425</v>
      </c>
      <c r="E89" s="7" t="s">
        <v>820</v>
      </c>
      <c r="F89" s="7" t="s">
        <v>426</v>
      </c>
      <c r="G89" s="7" t="s">
        <v>427</v>
      </c>
      <c r="H89" s="8" t="s">
        <v>59</v>
      </c>
      <c r="I89" s="8">
        <v>2</v>
      </c>
      <c r="J89" s="8" t="s">
        <v>60</v>
      </c>
      <c r="K89" s="8" t="s">
        <v>61</v>
      </c>
      <c r="L89" s="9" t="s">
        <v>821</v>
      </c>
      <c r="M89" s="9"/>
      <c r="N89" s="9"/>
      <c r="O89" s="7"/>
    </row>
    <row r="90" spans="1:15" ht="26.85" customHeight="1">
      <c r="A90" s="7">
        <v>89</v>
      </c>
      <c r="B90" s="7" t="s">
        <v>33</v>
      </c>
      <c r="C90" s="7" t="s">
        <v>428</v>
      </c>
      <c r="D90" s="7" t="s">
        <v>429</v>
      </c>
      <c r="E90" s="7" t="s">
        <v>430</v>
      </c>
      <c r="F90" s="7" t="s">
        <v>431</v>
      </c>
      <c r="G90" s="7" t="s">
        <v>432</v>
      </c>
      <c r="H90" s="8" t="s">
        <v>59</v>
      </c>
      <c r="I90" s="8">
        <v>2</v>
      </c>
      <c r="J90" s="8" t="s">
        <v>60</v>
      </c>
      <c r="K90" s="8" t="s">
        <v>61</v>
      </c>
      <c r="L90" s="9" t="s">
        <v>822</v>
      </c>
      <c r="M90" s="9"/>
      <c r="N90" s="9"/>
      <c r="O90" s="7"/>
    </row>
    <row r="91" spans="1:15" ht="47.1" customHeight="1">
      <c r="A91" s="7">
        <v>90</v>
      </c>
      <c r="B91" s="7" t="s">
        <v>33</v>
      </c>
      <c r="C91" s="7" t="s">
        <v>433</v>
      </c>
      <c r="D91" s="7" t="s">
        <v>434</v>
      </c>
      <c r="E91" s="7" t="s">
        <v>435</v>
      </c>
      <c r="F91" s="7" t="s">
        <v>426</v>
      </c>
      <c r="G91" s="7" t="s">
        <v>436</v>
      </c>
      <c r="H91" s="8" t="s">
        <v>59</v>
      </c>
      <c r="I91" s="8">
        <v>2</v>
      </c>
      <c r="J91" s="8" t="s">
        <v>60</v>
      </c>
      <c r="K91" s="8" t="s">
        <v>61</v>
      </c>
      <c r="L91" s="9" t="s">
        <v>823</v>
      </c>
      <c r="M91" s="9"/>
      <c r="N91" s="9"/>
      <c r="O91" s="7"/>
    </row>
    <row r="92" spans="1:15" ht="47.1" customHeight="1">
      <c r="A92" s="7">
        <v>91</v>
      </c>
      <c r="B92" s="7" t="s">
        <v>33</v>
      </c>
      <c r="C92" s="7" t="s">
        <v>437</v>
      </c>
      <c r="D92" s="7" t="s">
        <v>438</v>
      </c>
      <c r="E92" s="7" t="s">
        <v>439</v>
      </c>
      <c r="F92" s="7" t="s">
        <v>440</v>
      </c>
      <c r="G92" s="7" t="s">
        <v>441</v>
      </c>
      <c r="H92" s="8" t="s">
        <v>59</v>
      </c>
      <c r="I92" s="8">
        <v>2</v>
      </c>
      <c r="J92" s="8" t="s">
        <v>60</v>
      </c>
      <c r="K92" s="8" t="s">
        <v>61</v>
      </c>
      <c r="L92" s="9" t="s">
        <v>824</v>
      </c>
      <c r="M92" s="9"/>
      <c r="N92" s="9"/>
      <c r="O92" s="7"/>
    </row>
    <row r="93" spans="1:15" ht="47.1" customHeight="1">
      <c r="A93" s="7">
        <v>92</v>
      </c>
      <c r="B93" s="7" t="s">
        <v>33</v>
      </c>
      <c r="C93" s="7" t="s">
        <v>331</v>
      </c>
      <c r="D93" s="7" t="s">
        <v>442</v>
      </c>
      <c r="E93" s="7" t="s">
        <v>443</v>
      </c>
      <c r="F93" s="7" t="s">
        <v>334</v>
      </c>
      <c r="G93" s="7" t="s">
        <v>444</v>
      </c>
      <c r="H93" s="8" t="s">
        <v>59</v>
      </c>
      <c r="I93" s="8">
        <v>2</v>
      </c>
      <c r="J93" s="8" t="s">
        <v>60</v>
      </c>
      <c r="K93" s="8" t="s">
        <v>61</v>
      </c>
      <c r="L93" s="9" t="s">
        <v>825</v>
      </c>
      <c r="M93" s="9"/>
      <c r="N93" s="9"/>
      <c r="O93" s="7"/>
    </row>
    <row r="94" spans="1:15" ht="47.1" customHeight="1">
      <c r="A94" s="7">
        <v>93</v>
      </c>
      <c r="B94" s="7" t="s">
        <v>33</v>
      </c>
      <c r="C94" s="7" t="s">
        <v>445</v>
      </c>
      <c r="D94" s="7" t="s">
        <v>446</v>
      </c>
      <c r="E94" s="7" t="s">
        <v>447</v>
      </c>
      <c r="F94" s="7" t="s">
        <v>448</v>
      </c>
      <c r="G94" s="7" t="s">
        <v>449</v>
      </c>
      <c r="H94" s="8" t="s">
        <v>59</v>
      </c>
      <c r="I94" s="8">
        <v>2</v>
      </c>
      <c r="J94" s="8" t="s">
        <v>81</v>
      </c>
      <c r="K94" s="8" t="s">
        <v>192</v>
      </c>
      <c r="L94" s="9"/>
      <c r="M94" s="9"/>
      <c r="N94" s="9"/>
      <c r="O94" s="7"/>
    </row>
    <row r="95" spans="1:15" ht="47.1" customHeight="1">
      <c r="A95" s="7">
        <v>94</v>
      </c>
      <c r="B95" s="7" t="s">
        <v>33</v>
      </c>
      <c r="C95" s="7" t="s">
        <v>283</v>
      </c>
      <c r="D95" s="7" t="s">
        <v>450</v>
      </c>
      <c r="E95" s="7" t="s">
        <v>451</v>
      </c>
      <c r="F95" s="7" t="s">
        <v>286</v>
      </c>
      <c r="G95" s="7" t="s">
        <v>287</v>
      </c>
      <c r="H95" s="8" t="s">
        <v>59</v>
      </c>
      <c r="I95" s="8">
        <v>2</v>
      </c>
      <c r="J95" s="8" t="s">
        <v>81</v>
      </c>
      <c r="K95" s="8" t="s">
        <v>22</v>
      </c>
      <c r="L95" s="9" t="s">
        <v>826</v>
      </c>
      <c r="M95" s="9"/>
      <c r="N95" s="9"/>
      <c r="O95" s="7"/>
    </row>
    <row r="96" spans="1:15" ht="47.1" customHeight="1">
      <c r="A96" s="7">
        <v>95</v>
      </c>
      <c r="B96" s="7" t="s">
        <v>34</v>
      </c>
      <c r="C96" s="7" t="s">
        <v>452</v>
      </c>
      <c r="D96" s="7" t="s">
        <v>453</v>
      </c>
      <c r="E96" s="7" t="s">
        <v>454</v>
      </c>
      <c r="F96" s="7" t="s">
        <v>455</v>
      </c>
      <c r="G96" s="7" t="s">
        <v>456</v>
      </c>
      <c r="H96" s="8" t="s">
        <v>59</v>
      </c>
      <c r="I96" s="8">
        <v>2</v>
      </c>
      <c r="J96" s="8" t="s">
        <v>60</v>
      </c>
      <c r="K96" s="8" t="s">
        <v>61</v>
      </c>
      <c r="L96" s="9" t="s">
        <v>827</v>
      </c>
      <c r="M96" s="9"/>
      <c r="N96" s="9"/>
      <c r="O96" s="7"/>
    </row>
    <row r="97" spans="1:15" ht="47.1" customHeight="1">
      <c r="A97" s="7">
        <v>96</v>
      </c>
      <c r="B97" s="7" t="s">
        <v>34</v>
      </c>
      <c r="C97" s="7" t="s">
        <v>457</v>
      </c>
      <c r="D97" s="7" t="s">
        <v>458</v>
      </c>
      <c r="E97" s="7" t="s">
        <v>459</v>
      </c>
      <c r="F97" s="7" t="s">
        <v>460</v>
      </c>
      <c r="G97" s="7" t="s">
        <v>461</v>
      </c>
      <c r="H97" s="8" t="s">
        <v>59</v>
      </c>
      <c r="I97" s="8">
        <v>2</v>
      </c>
      <c r="J97" s="8" t="s">
        <v>60</v>
      </c>
      <c r="K97" s="8" t="s">
        <v>61</v>
      </c>
      <c r="L97" s="9" t="s">
        <v>828</v>
      </c>
      <c r="M97" s="9"/>
      <c r="N97" s="9"/>
      <c r="O97" s="7"/>
    </row>
    <row r="98" spans="1:15" ht="47.1" customHeight="1">
      <c r="A98" s="7">
        <v>97</v>
      </c>
      <c r="B98" s="7" t="s">
        <v>34</v>
      </c>
      <c r="C98" s="7" t="s">
        <v>462</v>
      </c>
      <c r="D98" s="7" t="s">
        <v>463</v>
      </c>
      <c r="E98" s="7" t="s">
        <v>464</v>
      </c>
      <c r="F98" s="7" t="s">
        <v>465</v>
      </c>
      <c r="G98" s="7" t="s">
        <v>466</v>
      </c>
      <c r="H98" s="8" t="s">
        <v>59</v>
      </c>
      <c r="I98" s="8">
        <v>2</v>
      </c>
      <c r="J98" s="8" t="s">
        <v>60</v>
      </c>
      <c r="K98" s="8" t="s">
        <v>61</v>
      </c>
      <c r="L98" s="9" t="s">
        <v>829</v>
      </c>
      <c r="M98" s="9"/>
      <c r="N98" s="9"/>
      <c r="O98" s="7"/>
    </row>
    <row r="99" spans="1:15" ht="26.85" customHeight="1">
      <c r="A99" s="7">
        <v>98</v>
      </c>
      <c r="B99" s="7" t="s">
        <v>34</v>
      </c>
      <c r="C99" s="7" t="s">
        <v>467</v>
      </c>
      <c r="D99" s="7" t="s">
        <v>468</v>
      </c>
      <c r="E99" s="7" t="s">
        <v>469</v>
      </c>
      <c r="F99" s="7" t="s">
        <v>462</v>
      </c>
      <c r="G99" s="7" t="s">
        <v>470</v>
      </c>
      <c r="H99" s="8" t="s">
        <v>59</v>
      </c>
      <c r="I99" s="8">
        <v>2</v>
      </c>
      <c r="J99" s="8" t="s">
        <v>60</v>
      </c>
      <c r="K99" s="8" t="s">
        <v>61</v>
      </c>
      <c r="L99" s="9" t="s">
        <v>830</v>
      </c>
      <c r="M99" s="9"/>
      <c r="N99" s="9"/>
      <c r="O99" s="7"/>
    </row>
    <row r="100" spans="1:15" ht="26.85" customHeight="1">
      <c r="A100" s="7">
        <v>99</v>
      </c>
      <c r="B100" s="7" t="s">
        <v>34</v>
      </c>
      <c r="C100" s="7" t="s">
        <v>471</v>
      </c>
      <c r="D100" s="7" t="s">
        <v>472</v>
      </c>
      <c r="E100" s="7" t="s">
        <v>473</v>
      </c>
      <c r="F100" s="7" t="s">
        <v>121</v>
      </c>
      <c r="G100" s="7" t="s">
        <v>474</v>
      </c>
      <c r="H100" s="8" t="s">
        <v>59</v>
      </c>
      <c r="I100" s="8">
        <v>2</v>
      </c>
      <c r="J100" s="8" t="s">
        <v>60</v>
      </c>
      <c r="K100" s="8" t="s">
        <v>61</v>
      </c>
      <c r="L100" s="9" t="s">
        <v>831</v>
      </c>
      <c r="M100" s="9"/>
      <c r="N100" s="9"/>
      <c r="O100" s="7"/>
    </row>
    <row r="101" spans="1:15" ht="26.85" customHeight="1">
      <c r="A101" s="7">
        <v>100</v>
      </c>
      <c r="B101" s="7" t="s">
        <v>34</v>
      </c>
      <c r="C101" s="7" t="s">
        <v>475</v>
      </c>
      <c r="D101" s="7" t="s">
        <v>476</v>
      </c>
      <c r="E101" s="7" t="s">
        <v>477</v>
      </c>
      <c r="F101" s="7" t="s">
        <v>478</v>
      </c>
      <c r="G101" s="7" t="s">
        <v>479</v>
      </c>
      <c r="H101" s="8" t="s">
        <v>59</v>
      </c>
      <c r="I101" s="8">
        <v>2</v>
      </c>
      <c r="J101" s="8" t="s">
        <v>60</v>
      </c>
      <c r="K101" s="8" t="s">
        <v>61</v>
      </c>
      <c r="L101" s="9" t="s">
        <v>832</v>
      </c>
      <c r="M101" s="9"/>
      <c r="N101" s="9"/>
      <c r="O101" s="7"/>
    </row>
    <row r="102" spans="1:15" ht="26.85" customHeight="1">
      <c r="A102" s="7">
        <v>101</v>
      </c>
      <c r="B102" s="7" t="s">
        <v>34</v>
      </c>
      <c r="C102" s="7" t="s">
        <v>480</v>
      </c>
      <c r="D102" s="7" t="s">
        <v>481</v>
      </c>
      <c r="E102" s="7" t="s">
        <v>482</v>
      </c>
      <c r="F102" s="7" t="s">
        <v>483</v>
      </c>
      <c r="G102" s="7" t="s">
        <v>484</v>
      </c>
      <c r="H102" s="8" t="s">
        <v>59</v>
      </c>
      <c r="I102" s="8">
        <v>2</v>
      </c>
      <c r="J102" s="8" t="s">
        <v>60</v>
      </c>
      <c r="K102" s="8" t="s">
        <v>61</v>
      </c>
      <c r="L102" s="9" t="s">
        <v>833</v>
      </c>
      <c r="M102" s="9"/>
      <c r="N102" s="9"/>
      <c r="O102" s="7"/>
    </row>
    <row r="103" spans="1:15" ht="26.85" customHeight="1">
      <c r="A103" s="7">
        <v>102</v>
      </c>
      <c r="B103" s="7" t="s">
        <v>34</v>
      </c>
      <c r="C103" s="7" t="s">
        <v>283</v>
      </c>
      <c r="D103" s="7" t="s">
        <v>485</v>
      </c>
      <c r="E103" s="7" t="s">
        <v>486</v>
      </c>
      <c r="F103" s="7" t="s">
        <v>286</v>
      </c>
      <c r="G103" s="7" t="s">
        <v>287</v>
      </c>
      <c r="H103" s="8" t="s">
        <v>59</v>
      </c>
      <c r="I103" s="8">
        <v>2</v>
      </c>
      <c r="J103" s="8" t="s">
        <v>81</v>
      </c>
      <c r="K103" s="8" t="s">
        <v>22</v>
      </c>
      <c r="L103" s="9" t="s">
        <v>834</v>
      </c>
      <c r="M103" s="9"/>
      <c r="N103" s="9"/>
      <c r="O103" s="7"/>
    </row>
    <row r="104" spans="1:15" ht="26.85" customHeight="1">
      <c r="A104" s="7">
        <v>103</v>
      </c>
      <c r="B104" s="7" t="s">
        <v>35</v>
      </c>
      <c r="C104" s="7" t="s">
        <v>129</v>
      </c>
      <c r="D104" s="7" t="s">
        <v>487</v>
      </c>
      <c r="E104" s="7" t="s">
        <v>488</v>
      </c>
      <c r="F104" s="7" t="s">
        <v>489</v>
      </c>
      <c r="G104" s="7" t="s">
        <v>490</v>
      </c>
      <c r="H104" s="8" t="s">
        <v>59</v>
      </c>
      <c r="I104" s="8">
        <v>2</v>
      </c>
      <c r="J104" s="8" t="s">
        <v>60</v>
      </c>
      <c r="K104" s="8" t="s">
        <v>61</v>
      </c>
      <c r="L104" s="9" t="s">
        <v>835</v>
      </c>
      <c r="M104" s="9"/>
      <c r="N104" s="9"/>
      <c r="O104" s="7"/>
    </row>
    <row r="105" spans="1:15" ht="26.85" customHeight="1">
      <c r="A105" s="7">
        <v>104</v>
      </c>
      <c r="B105" s="7" t="s">
        <v>35</v>
      </c>
      <c r="C105" s="7" t="s">
        <v>129</v>
      </c>
      <c r="D105" s="7" t="s">
        <v>491</v>
      </c>
      <c r="E105" s="7" t="s">
        <v>492</v>
      </c>
      <c r="F105" s="7" t="s">
        <v>493</v>
      </c>
      <c r="G105" s="7" t="s">
        <v>494</v>
      </c>
      <c r="H105" s="8" t="s">
        <v>59</v>
      </c>
      <c r="I105" s="8">
        <v>2</v>
      </c>
      <c r="J105" s="8" t="s">
        <v>60</v>
      </c>
      <c r="K105" s="8" t="s">
        <v>61</v>
      </c>
      <c r="L105" s="9" t="s">
        <v>836</v>
      </c>
      <c r="M105" s="9"/>
      <c r="N105" s="9"/>
      <c r="O105" s="7"/>
    </row>
    <row r="106" spans="1:15" ht="26.85" customHeight="1">
      <c r="A106" s="7">
        <v>105</v>
      </c>
      <c r="B106" s="7" t="s">
        <v>35</v>
      </c>
      <c r="C106" s="7" t="s">
        <v>129</v>
      </c>
      <c r="D106" s="7" t="s">
        <v>495</v>
      </c>
      <c r="E106" s="7" t="s">
        <v>496</v>
      </c>
      <c r="F106" s="7" t="s">
        <v>497</v>
      </c>
      <c r="G106" s="7" t="s">
        <v>498</v>
      </c>
      <c r="H106" s="8" t="s">
        <v>59</v>
      </c>
      <c r="I106" s="8">
        <v>2</v>
      </c>
      <c r="J106" s="8" t="s">
        <v>60</v>
      </c>
      <c r="K106" s="8" t="s">
        <v>61</v>
      </c>
      <c r="L106" s="9" t="s">
        <v>837</v>
      </c>
      <c r="M106" s="9"/>
      <c r="N106" s="9"/>
      <c r="O106" s="7"/>
    </row>
    <row r="107" spans="1:15" ht="26.85" customHeight="1">
      <c r="A107" s="7">
        <v>106</v>
      </c>
      <c r="B107" s="7" t="s">
        <v>35</v>
      </c>
      <c r="C107" s="7" t="s">
        <v>129</v>
      </c>
      <c r="D107" s="7" t="s">
        <v>499</v>
      </c>
      <c r="E107" s="7" t="s">
        <v>500</v>
      </c>
      <c r="F107" s="7" t="s">
        <v>501</v>
      </c>
      <c r="G107" s="7" t="s">
        <v>502</v>
      </c>
      <c r="H107" s="8" t="s">
        <v>59</v>
      </c>
      <c r="I107" s="8">
        <v>2</v>
      </c>
      <c r="J107" s="8" t="s">
        <v>60</v>
      </c>
      <c r="K107" s="8" t="s">
        <v>61</v>
      </c>
      <c r="L107" s="9" t="s">
        <v>838</v>
      </c>
      <c r="M107" s="9"/>
      <c r="N107" s="9"/>
      <c r="O107" s="7"/>
    </row>
    <row r="108" spans="1:15" ht="47.1" customHeight="1">
      <c r="A108" s="7">
        <v>107</v>
      </c>
      <c r="B108" s="7" t="s">
        <v>35</v>
      </c>
      <c r="C108" s="7" t="s">
        <v>503</v>
      </c>
      <c r="D108" s="7" t="s">
        <v>504</v>
      </c>
      <c r="E108" s="7" t="s">
        <v>505</v>
      </c>
      <c r="F108" s="7" t="s">
        <v>506</v>
      </c>
      <c r="G108" s="7" t="s">
        <v>507</v>
      </c>
      <c r="H108" s="8" t="s">
        <v>59</v>
      </c>
      <c r="I108" s="8">
        <v>2</v>
      </c>
      <c r="J108" s="8" t="s">
        <v>60</v>
      </c>
      <c r="K108" s="8" t="s">
        <v>61</v>
      </c>
      <c r="L108" s="9" t="s">
        <v>839</v>
      </c>
      <c r="M108" s="9"/>
      <c r="N108" s="9"/>
      <c r="O108" s="7"/>
    </row>
    <row r="109" spans="1:15" ht="26.85" customHeight="1">
      <c r="A109" s="7">
        <v>108</v>
      </c>
      <c r="B109" s="7" t="s">
        <v>35</v>
      </c>
      <c r="C109" s="7" t="s">
        <v>133</v>
      </c>
      <c r="D109" s="7" t="s">
        <v>508</v>
      </c>
      <c r="E109" s="7" t="s">
        <v>509</v>
      </c>
      <c r="F109" s="7" t="s">
        <v>510</v>
      </c>
      <c r="G109" s="7" t="s">
        <v>511</v>
      </c>
      <c r="H109" s="8" t="s">
        <v>59</v>
      </c>
      <c r="I109" s="8">
        <v>2</v>
      </c>
      <c r="J109" s="8" t="s">
        <v>60</v>
      </c>
      <c r="K109" s="8" t="s">
        <v>61</v>
      </c>
      <c r="L109" s="9" t="s">
        <v>840</v>
      </c>
      <c r="M109" s="9"/>
      <c r="N109" s="9"/>
      <c r="O109" s="7"/>
    </row>
    <row r="110" spans="1:15" ht="26.85" customHeight="1">
      <c r="A110" s="7">
        <v>109</v>
      </c>
      <c r="B110" s="7" t="s">
        <v>35</v>
      </c>
      <c r="C110" s="7" t="s">
        <v>133</v>
      </c>
      <c r="D110" s="7" t="s">
        <v>512</v>
      </c>
      <c r="E110" s="7" t="s">
        <v>513</v>
      </c>
      <c r="F110" s="7" t="s">
        <v>510</v>
      </c>
      <c r="G110" s="7" t="s">
        <v>514</v>
      </c>
      <c r="H110" s="8" t="s">
        <v>59</v>
      </c>
      <c r="I110" s="8">
        <v>2</v>
      </c>
      <c r="J110" s="8" t="s">
        <v>60</v>
      </c>
      <c r="K110" s="8" t="s">
        <v>61</v>
      </c>
      <c r="L110" s="9" t="s">
        <v>841</v>
      </c>
      <c r="M110" s="9"/>
      <c r="N110" s="9"/>
      <c r="O110" s="7"/>
    </row>
    <row r="111" spans="1:15" ht="26.85" customHeight="1">
      <c r="A111" s="7">
        <v>110</v>
      </c>
      <c r="B111" s="7" t="s">
        <v>35</v>
      </c>
      <c r="C111" s="7" t="s">
        <v>382</v>
      </c>
      <c r="D111" s="7" t="s">
        <v>515</v>
      </c>
      <c r="E111" s="7" t="s">
        <v>516</v>
      </c>
      <c r="F111" s="7" t="s">
        <v>517</v>
      </c>
      <c r="G111" s="7" t="s">
        <v>518</v>
      </c>
      <c r="H111" s="8" t="s">
        <v>59</v>
      </c>
      <c r="I111" s="8">
        <v>2</v>
      </c>
      <c r="J111" s="8" t="s">
        <v>60</v>
      </c>
      <c r="K111" s="8" t="s">
        <v>192</v>
      </c>
      <c r="L111" s="9"/>
      <c r="M111" s="9"/>
      <c r="N111" s="9"/>
      <c r="O111" s="7"/>
    </row>
    <row r="112" spans="1:15" ht="26.85" customHeight="1">
      <c r="A112" s="7">
        <v>111</v>
      </c>
      <c r="B112" s="7" t="s">
        <v>35</v>
      </c>
      <c r="C112" s="7" t="s">
        <v>121</v>
      </c>
      <c r="D112" s="7" t="s">
        <v>519</v>
      </c>
      <c r="E112" s="7" t="s">
        <v>520</v>
      </c>
      <c r="F112" s="7" t="s">
        <v>521</v>
      </c>
      <c r="G112" s="7" t="s">
        <v>522</v>
      </c>
      <c r="H112" s="8" t="s">
        <v>59</v>
      </c>
      <c r="I112" s="8">
        <v>2</v>
      </c>
      <c r="J112" s="8" t="s">
        <v>60</v>
      </c>
      <c r="K112" s="8" t="s">
        <v>192</v>
      </c>
      <c r="L112" s="9"/>
      <c r="M112" s="9"/>
      <c r="N112" s="9"/>
      <c r="O112" s="7"/>
    </row>
    <row r="113" spans="1:15" ht="47.1" customHeight="1">
      <c r="A113" s="7">
        <v>112</v>
      </c>
      <c r="B113" s="7" t="s">
        <v>36</v>
      </c>
      <c r="C113" s="7" t="s">
        <v>523</v>
      </c>
      <c r="D113" s="7" t="s">
        <v>851</v>
      </c>
      <c r="E113" s="7" t="s">
        <v>524</v>
      </c>
      <c r="F113" s="7" t="s">
        <v>525</v>
      </c>
      <c r="G113" s="7" t="s">
        <v>526</v>
      </c>
      <c r="H113" s="8" t="s">
        <v>59</v>
      </c>
      <c r="I113" s="8">
        <v>2</v>
      </c>
      <c r="J113" s="8" t="s">
        <v>60</v>
      </c>
      <c r="K113" s="8" t="s">
        <v>192</v>
      </c>
      <c r="L113" s="9"/>
      <c r="M113" s="9"/>
      <c r="N113" s="9"/>
      <c r="O113" s="7"/>
    </row>
    <row r="114" spans="1:15" ht="26.85" customHeight="1">
      <c r="A114" s="7">
        <v>113</v>
      </c>
      <c r="B114" s="7" t="s">
        <v>36</v>
      </c>
      <c r="C114" s="7" t="s">
        <v>523</v>
      </c>
      <c r="D114" s="7" t="s">
        <v>527</v>
      </c>
      <c r="E114" s="7" t="s">
        <v>528</v>
      </c>
      <c r="F114" s="7" t="s">
        <v>529</v>
      </c>
      <c r="G114" s="7" t="s">
        <v>530</v>
      </c>
      <c r="H114" s="8" t="s">
        <v>59</v>
      </c>
      <c r="I114" s="8">
        <v>2</v>
      </c>
      <c r="J114" s="8" t="s">
        <v>60</v>
      </c>
      <c r="K114" s="8" t="s">
        <v>192</v>
      </c>
      <c r="L114" s="9"/>
      <c r="M114" s="9"/>
      <c r="N114" s="9"/>
      <c r="O114" s="7"/>
    </row>
    <row r="115" spans="1:15" ht="26.85" customHeight="1">
      <c r="A115" s="7">
        <v>114</v>
      </c>
      <c r="B115" s="7" t="s">
        <v>36</v>
      </c>
      <c r="C115" s="7" t="s">
        <v>523</v>
      </c>
      <c r="D115" s="7" t="s">
        <v>531</v>
      </c>
      <c r="E115" s="7" t="s">
        <v>532</v>
      </c>
      <c r="F115" s="7" t="s">
        <v>533</v>
      </c>
      <c r="G115" s="7" t="s">
        <v>534</v>
      </c>
      <c r="H115" s="8" t="s">
        <v>59</v>
      </c>
      <c r="I115" s="8">
        <v>2</v>
      </c>
      <c r="J115" s="8" t="s">
        <v>60</v>
      </c>
      <c r="K115" s="8" t="s">
        <v>192</v>
      </c>
      <c r="L115" s="9"/>
      <c r="M115" s="9"/>
      <c r="N115" s="9"/>
      <c r="O115" s="7"/>
    </row>
    <row r="116" spans="1:15" ht="26.85" customHeight="1">
      <c r="A116" s="7">
        <v>115</v>
      </c>
      <c r="B116" s="7" t="s">
        <v>36</v>
      </c>
      <c r="C116" s="7" t="s">
        <v>523</v>
      </c>
      <c r="D116" s="7" t="s">
        <v>535</v>
      </c>
      <c r="E116" s="7" t="s">
        <v>536</v>
      </c>
      <c r="F116" s="7" t="s">
        <v>537</v>
      </c>
      <c r="G116" s="7" t="s">
        <v>538</v>
      </c>
      <c r="H116" s="8" t="s">
        <v>59</v>
      </c>
      <c r="I116" s="8">
        <v>2</v>
      </c>
      <c r="J116" s="8" t="s">
        <v>60</v>
      </c>
      <c r="K116" s="8" t="s">
        <v>192</v>
      </c>
      <c r="L116" s="9"/>
      <c r="M116" s="9"/>
      <c r="N116" s="9"/>
      <c r="O116" s="7"/>
    </row>
    <row r="117" spans="1:15" ht="26.85" customHeight="1">
      <c r="A117" s="7">
        <v>116</v>
      </c>
      <c r="B117" s="7" t="s">
        <v>36</v>
      </c>
      <c r="C117" s="7" t="s">
        <v>539</v>
      </c>
      <c r="D117" s="7" t="s">
        <v>540</v>
      </c>
      <c r="E117" s="7" t="s">
        <v>541</v>
      </c>
      <c r="F117" s="7" t="s">
        <v>417</v>
      </c>
      <c r="G117" s="7" t="s">
        <v>542</v>
      </c>
      <c r="H117" s="8" t="s">
        <v>59</v>
      </c>
      <c r="I117" s="8">
        <v>2</v>
      </c>
      <c r="J117" s="8" t="s">
        <v>60</v>
      </c>
      <c r="K117" s="8" t="s">
        <v>192</v>
      </c>
      <c r="L117" s="9"/>
      <c r="M117" s="9"/>
      <c r="N117" s="9"/>
      <c r="O117" s="7"/>
    </row>
    <row r="118" spans="1:15" ht="26.85" customHeight="1">
      <c r="A118" s="7">
        <v>117</v>
      </c>
      <c r="B118" s="7" t="s">
        <v>36</v>
      </c>
      <c r="C118" s="7" t="s">
        <v>539</v>
      </c>
      <c r="D118" s="7" t="s">
        <v>543</v>
      </c>
      <c r="E118" s="7" t="s">
        <v>544</v>
      </c>
      <c r="F118" s="7" t="s">
        <v>431</v>
      </c>
      <c r="G118" s="7" t="s">
        <v>545</v>
      </c>
      <c r="H118" s="8" t="s">
        <v>59</v>
      </c>
      <c r="I118" s="8">
        <v>2</v>
      </c>
      <c r="J118" s="8" t="s">
        <v>60</v>
      </c>
      <c r="K118" s="8" t="s">
        <v>192</v>
      </c>
      <c r="L118" s="9"/>
      <c r="M118" s="9"/>
      <c r="N118" s="9"/>
      <c r="O118" s="7"/>
    </row>
    <row r="119" spans="1:15" ht="26.85" customHeight="1">
      <c r="A119" s="7">
        <v>118</v>
      </c>
      <c r="B119" s="7" t="s">
        <v>36</v>
      </c>
      <c r="C119" s="7" t="s">
        <v>539</v>
      </c>
      <c r="D119" s="7" t="s">
        <v>546</v>
      </c>
      <c r="E119" s="7" t="s">
        <v>547</v>
      </c>
      <c r="F119" s="7" t="s">
        <v>548</v>
      </c>
      <c r="G119" s="7" t="s">
        <v>549</v>
      </c>
      <c r="H119" s="8" t="s">
        <v>59</v>
      </c>
      <c r="I119" s="8">
        <v>2</v>
      </c>
      <c r="J119" s="8" t="s">
        <v>60</v>
      </c>
      <c r="K119" s="8" t="s">
        <v>192</v>
      </c>
      <c r="L119" s="9"/>
      <c r="M119" s="9"/>
      <c r="N119" s="9"/>
      <c r="O119" s="7"/>
    </row>
    <row r="120" spans="1:15" ht="26.85" customHeight="1">
      <c r="A120" s="7">
        <v>119</v>
      </c>
      <c r="B120" s="7" t="s">
        <v>36</v>
      </c>
      <c r="C120" s="7" t="s">
        <v>539</v>
      </c>
      <c r="D120" s="7" t="s">
        <v>550</v>
      </c>
      <c r="E120" s="7" t="s">
        <v>551</v>
      </c>
      <c r="F120" s="7" t="s">
        <v>552</v>
      </c>
      <c r="G120" s="7" t="s">
        <v>553</v>
      </c>
      <c r="H120" s="8" t="s">
        <v>59</v>
      </c>
      <c r="I120" s="8">
        <v>2</v>
      </c>
      <c r="J120" s="8" t="s">
        <v>60</v>
      </c>
      <c r="K120" s="8" t="s">
        <v>192</v>
      </c>
      <c r="L120" s="9"/>
      <c r="M120" s="9"/>
      <c r="N120" s="9"/>
      <c r="O120" s="7"/>
    </row>
    <row r="121" spans="1:15" ht="26.85" customHeight="1">
      <c r="A121" s="7">
        <v>120</v>
      </c>
      <c r="B121" s="7" t="s">
        <v>36</v>
      </c>
      <c r="C121" s="7" t="s">
        <v>539</v>
      </c>
      <c r="D121" s="7" t="s">
        <v>554</v>
      </c>
      <c r="E121" s="7" t="s">
        <v>555</v>
      </c>
      <c r="F121" s="7" t="s">
        <v>548</v>
      </c>
      <c r="G121" s="7" t="s">
        <v>556</v>
      </c>
      <c r="H121" s="8" t="s">
        <v>59</v>
      </c>
      <c r="I121" s="8">
        <v>2</v>
      </c>
      <c r="J121" s="8" t="s">
        <v>81</v>
      </c>
      <c r="K121" s="8" t="s">
        <v>192</v>
      </c>
      <c r="L121" s="9"/>
      <c r="M121" s="9"/>
      <c r="N121" s="9"/>
      <c r="O121" s="7"/>
    </row>
    <row r="122" spans="1:15" ht="26.85" customHeight="1">
      <c r="A122" s="7">
        <v>121</v>
      </c>
      <c r="B122" s="7" t="s">
        <v>36</v>
      </c>
      <c r="C122" s="7" t="s">
        <v>539</v>
      </c>
      <c r="D122" s="7" t="s">
        <v>557</v>
      </c>
      <c r="E122" s="7" t="s">
        <v>558</v>
      </c>
      <c r="F122" s="7" t="s">
        <v>426</v>
      </c>
      <c r="G122" s="7" t="s">
        <v>559</v>
      </c>
      <c r="H122" s="8" t="s">
        <v>59</v>
      </c>
      <c r="I122" s="8">
        <v>2</v>
      </c>
      <c r="J122" s="8" t="s">
        <v>81</v>
      </c>
      <c r="K122" s="8" t="s">
        <v>192</v>
      </c>
      <c r="L122" s="9"/>
      <c r="M122" s="9"/>
      <c r="N122" s="9"/>
      <c r="O122" s="7"/>
    </row>
    <row r="123" spans="1:15" ht="26.85" customHeight="1">
      <c r="A123" s="7">
        <v>122</v>
      </c>
      <c r="B123" s="7" t="s">
        <v>36</v>
      </c>
      <c r="C123" s="7" t="s">
        <v>560</v>
      </c>
      <c r="D123" s="7" t="s">
        <v>561</v>
      </c>
      <c r="E123" s="7" t="s">
        <v>562</v>
      </c>
      <c r="F123" s="7" t="s">
        <v>563</v>
      </c>
      <c r="G123" s="7" t="s">
        <v>564</v>
      </c>
      <c r="H123" s="8" t="s">
        <v>59</v>
      </c>
      <c r="I123" s="8">
        <v>2</v>
      </c>
      <c r="J123" s="8" t="s">
        <v>81</v>
      </c>
      <c r="K123" s="8" t="s">
        <v>192</v>
      </c>
      <c r="L123" s="9"/>
      <c r="M123" s="9"/>
      <c r="N123" s="9"/>
      <c r="O123" s="7"/>
    </row>
    <row r="124" spans="1:15" ht="26.85" customHeight="1">
      <c r="A124" s="7">
        <v>123</v>
      </c>
      <c r="B124" s="7" t="s">
        <v>36</v>
      </c>
      <c r="C124" s="7" t="s">
        <v>560</v>
      </c>
      <c r="D124" s="7" t="s">
        <v>565</v>
      </c>
      <c r="E124" s="7" t="s">
        <v>566</v>
      </c>
      <c r="F124" s="7" t="s">
        <v>431</v>
      </c>
      <c r="G124" s="7" t="s">
        <v>567</v>
      </c>
      <c r="H124" s="8" t="s">
        <v>59</v>
      </c>
      <c r="I124" s="8">
        <v>2</v>
      </c>
      <c r="J124" s="8" t="s">
        <v>81</v>
      </c>
      <c r="K124" s="8" t="s">
        <v>192</v>
      </c>
      <c r="L124" s="9"/>
      <c r="M124" s="9"/>
      <c r="N124" s="9"/>
      <c r="O124" s="7"/>
    </row>
    <row r="125" spans="1:15" ht="26.85" customHeight="1">
      <c r="A125" s="7">
        <v>124</v>
      </c>
      <c r="B125" s="7" t="s">
        <v>36</v>
      </c>
      <c r="C125" s="7" t="s">
        <v>560</v>
      </c>
      <c r="D125" s="7" t="s">
        <v>568</v>
      </c>
      <c r="E125" s="7" t="s">
        <v>569</v>
      </c>
      <c r="F125" s="7" t="s">
        <v>548</v>
      </c>
      <c r="G125" s="7" t="s">
        <v>570</v>
      </c>
      <c r="H125" s="8" t="s">
        <v>59</v>
      </c>
      <c r="I125" s="8">
        <v>2</v>
      </c>
      <c r="J125" s="8" t="s">
        <v>81</v>
      </c>
      <c r="K125" s="8" t="s">
        <v>192</v>
      </c>
      <c r="L125" s="9"/>
      <c r="M125" s="9"/>
      <c r="N125" s="9"/>
      <c r="O125" s="7"/>
    </row>
    <row r="126" spans="1:15" ht="26.85" customHeight="1">
      <c r="A126" s="7">
        <v>125</v>
      </c>
      <c r="B126" s="7" t="s">
        <v>36</v>
      </c>
      <c r="C126" s="7" t="s">
        <v>560</v>
      </c>
      <c r="D126" s="7" t="s">
        <v>571</v>
      </c>
      <c r="E126" s="7" t="s">
        <v>572</v>
      </c>
      <c r="F126" s="7" t="s">
        <v>426</v>
      </c>
      <c r="G126" s="7" t="s">
        <v>573</v>
      </c>
      <c r="H126" s="8" t="s">
        <v>59</v>
      </c>
      <c r="I126" s="8">
        <v>2</v>
      </c>
      <c r="J126" s="8" t="s">
        <v>81</v>
      </c>
      <c r="K126" s="8" t="s">
        <v>192</v>
      </c>
      <c r="L126" s="9"/>
      <c r="M126" s="9"/>
      <c r="N126" s="9"/>
      <c r="O126" s="7"/>
    </row>
    <row r="127" spans="1:15" ht="26.85" customHeight="1">
      <c r="A127" s="7">
        <v>126</v>
      </c>
      <c r="B127" s="7" t="s">
        <v>36</v>
      </c>
      <c r="C127" s="7" t="s">
        <v>574</v>
      </c>
      <c r="D127" s="7" t="s">
        <v>575</v>
      </c>
      <c r="E127" s="7" t="s">
        <v>576</v>
      </c>
      <c r="F127" s="7" t="s">
        <v>417</v>
      </c>
      <c r="G127" s="7" t="s">
        <v>577</v>
      </c>
      <c r="H127" s="8" t="s">
        <v>59</v>
      </c>
      <c r="I127" s="8">
        <v>2</v>
      </c>
      <c r="J127" s="8" t="s">
        <v>81</v>
      </c>
      <c r="K127" s="8" t="s">
        <v>192</v>
      </c>
      <c r="L127" s="9"/>
      <c r="M127" s="9"/>
      <c r="N127" s="9"/>
      <c r="O127" s="7"/>
    </row>
    <row r="128" spans="1:15" ht="26.85" customHeight="1">
      <c r="A128" s="7">
        <v>127</v>
      </c>
      <c r="B128" s="7" t="s">
        <v>36</v>
      </c>
      <c r="C128" s="7" t="s">
        <v>574</v>
      </c>
      <c r="D128" s="7" t="s">
        <v>813</v>
      </c>
      <c r="E128" s="7" t="s">
        <v>842</v>
      </c>
      <c r="F128" s="7" t="s">
        <v>431</v>
      </c>
      <c r="G128" s="7" t="s">
        <v>578</v>
      </c>
      <c r="H128" s="8" t="s">
        <v>59</v>
      </c>
      <c r="I128" s="8">
        <v>2</v>
      </c>
      <c r="J128" s="8" t="s">
        <v>81</v>
      </c>
      <c r="K128" s="8" t="s">
        <v>192</v>
      </c>
      <c r="L128" s="9"/>
      <c r="M128" s="9"/>
      <c r="N128" s="9"/>
      <c r="O128" s="7"/>
    </row>
    <row r="129" spans="1:15" ht="26.85" customHeight="1">
      <c r="A129" s="7">
        <v>128</v>
      </c>
      <c r="B129" s="7" t="s">
        <v>36</v>
      </c>
      <c r="C129" s="7" t="s">
        <v>574</v>
      </c>
      <c r="D129" s="7" t="s">
        <v>579</v>
      </c>
      <c r="E129" s="7" t="s">
        <v>580</v>
      </c>
      <c r="F129" s="7" t="s">
        <v>581</v>
      </c>
      <c r="G129" s="7" t="s">
        <v>582</v>
      </c>
      <c r="H129" s="8" t="s">
        <v>59</v>
      </c>
      <c r="I129" s="8">
        <v>2</v>
      </c>
      <c r="J129" s="8" t="s">
        <v>81</v>
      </c>
      <c r="K129" s="8" t="s">
        <v>192</v>
      </c>
      <c r="L129" s="9"/>
      <c r="M129" s="9"/>
      <c r="N129" s="9"/>
      <c r="O129" s="7"/>
    </row>
    <row r="130" spans="1:15" ht="26.85" customHeight="1">
      <c r="A130" s="7">
        <v>129</v>
      </c>
      <c r="B130" s="7" t="s">
        <v>36</v>
      </c>
      <c r="C130" s="7" t="s">
        <v>583</v>
      </c>
      <c r="D130" s="7" t="s">
        <v>584</v>
      </c>
      <c r="E130" s="7" t="s">
        <v>843</v>
      </c>
      <c r="F130" s="7" t="s">
        <v>585</v>
      </c>
      <c r="G130" s="7" t="s">
        <v>586</v>
      </c>
      <c r="H130" s="8" t="s">
        <v>59</v>
      </c>
      <c r="I130" s="8">
        <v>2</v>
      </c>
      <c r="J130" s="8" t="s">
        <v>81</v>
      </c>
      <c r="K130" s="8" t="s">
        <v>192</v>
      </c>
      <c r="L130" s="9"/>
      <c r="M130" s="9"/>
      <c r="N130" s="9"/>
      <c r="O130" s="7"/>
    </row>
    <row r="131" spans="1:15" ht="26.85" customHeight="1">
      <c r="A131" s="7">
        <v>130</v>
      </c>
      <c r="B131" s="7" t="s">
        <v>36</v>
      </c>
      <c r="C131" s="7" t="s">
        <v>583</v>
      </c>
      <c r="D131" s="7" t="s">
        <v>587</v>
      </c>
      <c r="E131" s="7" t="s">
        <v>588</v>
      </c>
      <c r="F131" s="7" t="s">
        <v>589</v>
      </c>
      <c r="G131" s="7" t="s">
        <v>590</v>
      </c>
      <c r="H131" s="8" t="s">
        <v>59</v>
      </c>
      <c r="I131" s="8">
        <v>2</v>
      </c>
      <c r="J131" s="8" t="s">
        <v>81</v>
      </c>
      <c r="K131" s="8" t="s">
        <v>192</v>
      </c>
      <c r="L131" s="9"/>
      <c r="M131" s="9"/>
      <c r="N131" s="9"/>
      <c r="O131" s="7"/>
    </row>
    <row r="132" spans="1:15" ht="26.85" customHeight="1">
      <c r="A132" s="7">
        <v>131</v>
      </c>
      <c r="B132" s="7" t="s">
        <v>36</v>
      </c>
      <c r="C132" s="7" t="s">
        <v>591</v>
      </c>
      <c r="D132" s="7" t="s">
        <v>592</v>
      </c>
      <c r="E132" s="7" t="s">
        <v>593</v>
      </c>
      <c r="F132" s="7" t="s">
        <v>594</v>
      </c>
      <c r="G132" s="7" t="s">
        <v>595</v>
      </c>
      <c r="H132" s="8" t="s">
        <v>59</v>
      </c>
      <c r="I132" s="8">
        <v>2</v>
      </c>
      <c r="J132" s="8" t="s">
        <v>81</v>
      </c>
      <c r="K132" s="8" t="s">
        <v>192</v>
      </c>
      <c r="L132" s="9"/>
      <c r="M132" s="9"/>
      <c r="N132" s="9"/>
      <c r="O132" s="7"/>
    </row>
    <row r="133" spans="1:15" ht="26.85" customHeight="1">
      <c r="A133" s="7">
        <v>132</v>
      </c>
      <c r="B133" s="7" t="s">
        <v>37</v>
      </c>
      <c r="C133" s="7" t="s">
        <v>596</v>
      </c>
      <c r="D133" s="7" t="s">
        <v>597</v>
      </c>
      <c r="E133" s="7" t="s">
        <v>598</v>
      </c>
      <c r="F133" s="7" t="s">
        <v>417</v>
      </c>
      <c r="G133" s="7" t="s">
        <v>287</v>
      </c>
      <c r="H133" s="8" t="s">
        <v>59</v>
      </c>
      <c r="I133" s="8">
        <v>2</v>
      </c>
      <c r="J133" s="8" t="s">
        <v>81</v>
      </c>
      <c r="K133" s="8" t="s">
        <v>192</v>
      </c>
      <c r="L133" s="9"/>
      <c r="M133" s="9"/>
      <c r="N133" s="9"/>
      <c r="O133" s="7"/>
    </row>
    <row r="134" spans="1:15" ht="26.85" customHeight="1">
      <c r="A134" s="7">
        <v>133</v>
      </c>
      <c r="B134" s="7" t="s">
        <v>37</v>
      </c>
      <c r="C134" s="7" t="s">
        <v>596</v>
      </c>
      <c r="D134" s="7" t="s">
        <v>599</v>
      </c>
      <c r="E134" s="7" t="s">
        <v>600</v>
      </c>
      <c r="F134" s="7" t="s">
        <v>431</v>
      </c>
      <c r="G134" s="7" t="s">
        <v>287</v>
      </c>
      <c r="H134" s="8" t="s">
        <v>59</v>
      </c>
      <c r="I134" s="8">
        <v>2</v>
      </c>
      <c r="J134" s="8" t="s">
        <v>81</v>
      </c>
      <c r="K134" s="8" t="s">
        <v>192</v>
      </c>
      <c r="L134" s="9"/>
      <c r="M134" s="9"/>
      <c r="N134" s="9"/>
      <c r="O134" s="7"/>
    </row>
    <row r="135" spans="1:15" ht="47.1" customHeight="1">
      <c r="A135" s="7">
        <v>134</v>
      </c>
      <c r="B135" s="7" t="s">
        <v>37</v>
      </c>
      <c r="C135" s="7" t="s">
        <v>596</v>
      </c>
      <c r="D135" s="7" t="s">
        <v>601</v>
      </c>
      <c r="E135" s="7" t="s">
        <v>602</v>
      </c>
      <c r="F135" s="7" t="s">
        <v>548</v>
      </c>
      <c r="G135" s="7" t="s">
        <v>287</v>
      </c>
      <c r="H135" s="8" t="s">
        <v>59</v>
      </c>
      <c r="I135" s="8">
        <v>2</v>
      </c>
      <c r="J135" s="8" t="s">
        <v>81</v>
      </c>
      <c r="K135" s="8" t="s">
        <v>192</v>
      </c>
      <c r="L135" s="9"/>
      <c r="M135" s="9"/>
      <c r="N135" s="9"/>
      <c r="O135" s="7"/>
    </row>
    <row r="136" spans="1:15" ht="26.85" customHeight="1">
      <c r="A136" s="7">
        <v>135</v>
      </c>
      <c r="B136" s="7" t="s">
        <v>37</v>
      </c>
      <c r="C136" s="7" t="s">
        <v>596</v>
      </c>
      <c r="D136" s="7" t="s">
        <v>603</v>
      </c>
      <c r="E136" s="7" t="s">
        <v>604</v>
      </c>
      <c r="F136" s="7" t="s">
        <v>426</v>
      </c>
      <c r="G136" s="7" t="s">
        <v>287</v>
      </c>
      <c r="H136" s="8" t="s">
        <v>59</v>
      </c>
      <c r="I136" s="8">
        <v>2</v>
      </c>
      <c r="J136" s="8" t="s">
        <v>81</v>
      </c>
      <c r="K136" s="8" t="s">
        <v>192</v>
      </c>
      <c r="L136" s="9"/>
      <c r="M136" s="9"/>
      <c r="N136" s="9"/>
      <c r="O136" s="7"/>
    </row>
    <row r="137" spans="1:15" ht="26.85" customHeight="1">
      <c r="A137" s="7">
        <v>136</v>
      </c>
      <c r="B137" s="7" t="s">
        <v>37</v>
      </c>
      <c r="C137" s="7" t="s">
        <v>605</v>
      </c>
      <c r="D137" s="7" t="s">
        <v>606</v>
      </c>
      <c r="E137" s="7" t="s">
        <v>607</v>
      </c>
      <c r="F137" s="7" t="s">
        <v>608</v>
      </c>
      <c r="G137" s="7" t="s">
        <v>609</v>
      </c>
      <c r="H137" s="8" t="s">
        <v>59</v>
      </c>
      <c r="I137" s="8">
        <v>2</v>
      </c>
      <c r="J137" s="8" t="s">
        <v>81</v>
      </c>
      <c r="K137" s="8" t="s">
        <v>192</v>
      </c>
      <c r="L137" s="9"/>
      <c r="M137" s="9"/>
      <c r="N137" s="9"/>
      <c r="O137" s="7"/>
    </row>
    <row r="138" spans="1:15" ht="26.85" customHeight="1">
      <c r="A138" s="7">
        <v>137</v>
      </c>
      <c r="B138" s="7" t="s">
        <v>37</v>
      </c>
      <c r="C138" s="7" t="s">
        <v>610</v>
      </c>
      <c r="D138" s="7" t="s">
        <v>611</v>
      </c>
      <c r="E138" s="7" t="s">
        <v>612</v>
      </c>
      <c r="F138" s="7" t="s">
        <v>613</v>
      </c>
      <c r="G138" s="7" t="s">
        <v>614</v>
      </c>
      <c r="H138" s="8" t="s">
        <v>59</v>
      </c>
      <c r="I138" s="8">
        <v>2</v>
      </c>
      <c r="J138" s="8" t="s">
        <v>81</v>
      </c>
      <c r="K138" s="8" t="s">
        <v>192</v>
      </c>
      <c r="L138" s="9"/>
      <c r="M138" s="9"/>
      <c r="N138" s="9"/>
      <c r="O138" s="7"/>
    </row>
    <row r="139" spans="1:15" ht="26.85" customHeight="1">
      <c r="A139" s="7">
        <v>138</v>
      </c>
      <c r="B139" s="7" t="s">
        <v>37</v>
      </c>
      <c r="C139" s="7" t="s">
        <v>610</v>
      </c>
      <c r="D139" s="7" t="s">
        <v>615</v>
      </c>
      <c r="E139" s="7" t="s">
        <v>616</v>
      </c>
      <c r="F139" s="7" t="s">
        <v>617</v>
      </c>
      <c r="G139" s="7" t="s">
        <v>618</v>
      </c>
      <c r="H139" s="8" t="s">
        <v>59</v>
      </c>
      <c r="I139" s="8">
        <v>2</v>
      </c>
      <c r="J139" s="8" t="s">
        <v>81</v>
      </c>
      <c r="K139" s="8" t="s">
        <v>192</v>
      </c>
      <c r="L139" s="9"/>
      <c r="M139" s="9"/>
      <c r="N139" s="9"/>
      <c r="O139" s="7"/>
    </row>
    <row r="140" spans="1:15" ht="26.85" customHeight="1">
      <c r="A140" s="7">
        <v>139</v>
      </c>
      <c r="B140" s="7" t="s">
        <v>37</v>
      </c>
      <c r="C140" s="7" t="s">
        <v>610</v>
      </c>
      <c r="D140" s="7" t="s">
        <v>619</v>
      </c>
      <c r="E140" s="7" t="s">
        <v>620</v>
      </c>
      <c r="F140" s="7" t="s">
        <v>621</v>
      </c>
      <c r="G140" s="7" t="s">
        <v>622</v>
      </c>
      <c r="H140" s="8" t="s">
        <v>59</v>
      </c>
      <c r="I140" s="8">
        <v>2</v>
      </c>
      <c r="J140" s="8" t="s">
        <v>81</v>
      </c>
      <c r="K140" s="8" t="s">
        <v>192</v>
      </c>
      <c r="L140" s="9"/>
      <c r="M140" s="9"/>
      <c r="N140" s="9"/>
      <c r="O140" s="7"/>
    </row>
    <row r="141" spans="1:15" ht="26.85" customHeight="1">
      <c r="A141" s="7">
        <v>140</v>
      </c>
      <c r="B141" s="7" t="s">
        <v>37</v>
      </c>
      <c r="C141" s="7" t="s">
        <v>610</v>
      </c>
      <c r="D141" s="7" t="s">
        <v>623</v>
      </c>
      <c r="E141" s="7" t="s">
        <v>624</v>
      </c>
      <c r="F141" s="7" t="s">
        <v>617</v>
      </c>
      <c r="G141" s="7" t="s">
        <v>618</v>
      </c>
      <c r="H141" s="8" t="s">
        <v>59</v>
      </c>
      <c r="I141" s="8">
        <v>2</v>
      </c>
      <c r="J141" s="8" t="s">
        <v>81</v>
      </c>
      <c r="K141" s="8" t="s">
        <v>192</v>
      </c>
      <c r="L141" s="9"/>
      <c r="M141" s="9"/>
      <c r="N141" s="9"/>
      <c r="O141" s="7"/>
    </row>
    <row r="142" spans="1:15" ht="47.1" customHeight="1">
      <c r="A142" s="7">
        <v>141</v>
      </c>
      <c r="B142" s="7" t="s">
        <v>37</v>
      </c>
      <c r="C142" s="7" t="s">
        <v>610</v>
      </c>
      <c r="D142" s="7" t="s">
        <v>625</v>
      </c>
      <c r="E142" s="7" t="s">
        <v>626</v>
      </c>
      <c r="F142" s="7" t="s">
        <v>627</v>
      </c>
      <c r="G142" s="7" t="s">
        <v>628</v>
      </c>
      <c r="H142" s="8" t="s">
        <v>59</v>
      </c>
      <c r="I142" s="8">
        <v>2</v>
      </c>
      <c r="J142" s="8" t="s">
        <v>81</v>
      </c>
      <c r="K142" s="8" t="s">
        <v>192</v>
      </c>
      <c r="L142" s="9"/>
      <c r="M142" s="9"/>
      <c r="N142" s="9"/>
      <c r="O142" s="7"/>
    </row>
    <row r="143" spans="1:15" ht="26.85" customHeight="1">
      <c r="A143" s="7">
        <v>142</v>
      </c>
      <c r="B143" s="7" t="s">
        <v>37</v>
      </c>
      <c r="C143" s="7" t="s">
        <v>629</v>
      </c>
      <c r="D143" s="7" t="s">
        <v>630</v>
      </c>
      <c r="E143" s="7" t="s">
        <v>631</v>
      </c>
      <c r="F143" s="7" t="s">
        <v>632</v>
      </c>
      <c r="G143" s="7" t="s">
        <v>633</v>
      </c>
      <c r="H143" s="8" t="s">
        <v>59</v>
      </c>
      <c r="I143" s="8">
        <v>2</v>
      </c>
      <c r="J143" s="8" t="s">
        <v>81</v>
      </c>
      <c r="K143" s="8" t="s">
        <v>192</v>
      </c>
      <c r="L143" s="9"/>
      <c r="M143" s="9"/>
      <c r="N143" s="9"/>
      <c r="O143" s="7"/>
    </row>
    <row r="144" spans="1:15" ht="26.85" customHeight="1">
      <c r="A144" s="7">
        <v>143</v>
      </c>
      <c r="B144" s="7" t="s">
        <v>37</v>
      </c>
      <c r="C144" s="7" t="s">
        <v>634</v>
      </c>
      <c r="D144" s="7" t="s">
        <v>635</v>
      </c>
      <c r="E144" s="7" t="s">
        <v>636</v>
      </c>
      <c r="F144" s="7" t="s">
        <v>637</v>
      </c>
      <c r="G144" s="7" t="s">
        <v>638</v>
      </c>
      <c r="H144" s="8" t="s">
        <v>59</v>
      </c>
      <c r="I144" s="8">
        <v>2</v>
      </c>
      <c r="J144" s="8" t="s">
        <v>81</v>
      </c>
      <c r="K144" s="8" t="s">
        <v>192</v>
      </c>
      <c r="L144" s="9"/>
      <c r="M144" s="9"/>
      <c r="N144" s="9"/>
      <c r="O144" s="7"/>
    </row>
    <row r="145" spans="1:15" ht="26.85" customHeight="1">
      <c r="A145" s="7">
        <v>144</v>
      </c>
      <c r="B145" s="7" t="s">
        <v>37</v>
      </c>
      <c r="C145" s="7" t="s">
        <v>639</v>
      </c>
      <c r="D145" s="7" t="s">
        <v>640</v>
      </c>
      <c r="E145" s="7" t="s">
        <v>641</v>
      </c>
      <c r="F145" s="7" t="s">
        <v>642</v>
      </c>
      <c r="G145" s="7" t="s">
        <v>643</v>
      </c>
      <c r="H145" s="8" t="s">
        <v>59</v>
      </c>
      <c r="I145" s="8">
        <v>2</v>
      </c>
      <c r="J145" s="8" t="s">
        <v>81</v>
      </c>
      <c r="K145" s="8" t="s">
        <v>192</v>
      </c>
      <c r="L145" s="9"/>
      <c r="M145" s="9"/>
      <c r="N145" s="9"/>
      <c r="O145" s="7"/>
    </row>
    <row r="146" spans="1:15" ht="26.85" customHeight="1">
      <c r="A146" s="7">
        <v>145</v>
      </c>
      <c r="B146" s="7" t="s">
        <v>37</v>
      </c>
      <c r="C146" s="7" t="s">
        <v>644</v>
      </c>
      <c r="D146" s="7" t="s">
        <v>645</v>
      </c>
      <c r="E146" s="7" t="s">
        <v>646</v>
      </c>
      <c r="F146" s="7" t="s">
        <v>647</v>
      </c>
      <c r="G146" s="7" t="s">
        <v>648</v>
      </c>
      <c r="H146" s="8" t="s">
        <v>59</v>
      </c>
      <c r="I146" s="8">
        <v>2</v>
      </c>
      <c r="J146" s="8" t="s">
        <v>81</v>
      </c>
      <c r="K146" s="8" t="s">
        <v>192</v>
      </c>
      <c r="L146" s="9"/>
      <c r="M146" s="9"/>
      <c r="N146" s="9"/>
      <c r="O146" s="7"/>
    </row>
    <row r="147" spans="1:15" ht="26.85" customHeight="1">
      <c r="A147" s="7">
        <v>146</v>
      </c>
      <c r="B147" s="7" t="s">
        <v>38</v>
      </c>
      <c r="C147" s="7" t="s">
        <v>115</v>
      </c>
      <c r="D147" s="7" t="s">
        <v>649</v>
      </c>
      <c r="E147" s="7" t="s">
        <v>650</v>
      </c>
      <c r="F147" s="7" t="s">
        <v>651</v>
      </c>
      <c r="G147" s="7" t="s">
        <v>652</v>
      </c>
      <c r="H147" s="8" t="s">
        <v>59</v>
      </c>
      <c r="I147" s="8">
        <v>2</v>
      </c>
      <c r="J147" s="8" t="s">
        <v>81</v>
      </c>
      <c r="K147" s="8" t="s">
        <v>192</v>
      </c>
      <c r="L147" s="9"/>
      <c r="M147" s="9"/>
      <c r="N147" s="9"/>
      <c r="O147" s="7"/>
    </row>
    <row r="148" spans="1:15" ht="26.85" customHeight="1">
      <c r="A148" s="7">
        <v>147</v>
      </c>
      <c r="B148" s="7" t="s">
        <v>38</v>
      </c>
      <c r="C148" s="7" t="s">
        <v>115</v>
      </c>
      <c r="D148" s="7" t="s">
        <v>653</v>
      </c>
      <c r="E148" s="7" t="s">
        <v>654</v>
      </c>
      <c r="F148" s="7" t="s">
        <v>655</v>
      </c>
      <c r="G148" s="7" t="s">
        <v>656</v>
      </c>
      <c r="H148" s="8" t="s">
        <v>59</v>
      </c>
      <c r="I148" s="8">
        <v>2</v>
      </c>
      <c r="J148" s="8" t="s">
        <v>81</v>
      </c>
      <c r="K148" s="8" t="s">
        <v>192</v>
      </c>
      <c r="L148" s="9"/>
      <c r="M148" s="9"/>
      <c r="N148" s="9"/>
      <c r="O148" s="7"/>
    </row>
    <row r="149" spans="1:15" ht="26.85" customHeight="1">
      <c r="A149" s="7">
        <v>148</v>
      </c>
      <c r="B149" s="7" t="s">
        <v>38</v>
      </c>
      <c r="C149" s="7" t="s">
        <v>657</v>
      </c>
      <c r="D149" s="7" t="s">
        <v>658</v>
      </c>
      <c r="E149" s="7" t="s">
        <v>659</v>
      </c>
      <c r="F149" s="7" t="s">
        <v>660</v>
      </c>
      <c r="G149" s="7" t="s">
        <v>661</v>
      </c>
      <c r="H149" s="8" t="s">
        <v>59</v>
      </c>
      <c r="I149" s="8">
        <v>2</v>
      </c>
      <c r="J149" s="8" t="s">
        <v>81</v>
      </c>
      <c r="K149" s="8" t="s">
        <v>192</v>
      </c>
      <c r="L149" s="9"/>
      <c r="M149" s="9"/>
      <c r="N149" s="9"/>
      <c r="O149" s="7"/>
    </row>
    <row r="150" spans="1:15" ht="26.85" customHeight="1">
      <c r="A150" s="7">
        <v>149</v>
      </c>
      <c r="B150" s="7" t="s">
        <v>38</v>
      </c>
      <c r="C150" s="7" t="s">
        <v>662</v>
      </c>
      <c r="D150" s="7" t="s">
        <v>663</v>
      </c>
      <c r="E150" s="7" t="s">
        <v>664</v>
      </c>
      <c r="F150" s="7" t="s">
        <v>665</v>
      </c>
      <c r="G150" s="7" t="s">
        <v>666</v>
      </c>
      <c r="H150" s="8" t="s">
        <v>59</v>
      </c>
      <c r="I150" s="8">
        <v>2</v>
      </c>
      <c r="J150" s="8" t="s">
        <v>81</v>
      </c>
      <c r="K150" s="8" t="s">
        <v>192</v>
      </c>
      <c r="L150" s="9"/>
      <c r="M150" s="9"/>
      <c r="N150" s="9"/>
      <c r="O150" s="7"/>
    </row>
    <row r="151" spans="1:15" ht="47.1" customHeight="1">
      <c r="A151" s="7">
        <v>150</v>
      </c>
      <c r="B151" s="7" t="s">
        <v>38</v>
      </c>
      <c r="C151" s="7" t="s">
        <v>662</v>
      </c>
      <c r="D151" s="7" t="s">
        <v>667</v>
      </c>
      <c r="E151" s="7" t="s">
        <v>668</v>
      </c>
      <c r="F151" s="7" t="s">
        <v>669</v>
      </c>
      <c r="G151" s="7" t="s">
        <v>670</v>
      </c>
      <c r="H151" s="8" t="s">
        <v>59</v>
      </c>
      <c r="I151" s="8">
        <v>2</v>
      </c>
      <c r="J151" s="8" t="s">
        <v>81</v>
      </c>
      <c r="K151" s="8" t="s">
        <v>192</v>
      </c>
      <c r="L151" s="9"/>
      <c r="M151" s="9"/>
      <c r="N151" s="9"/>
      <c r="O151" s="7"/>
    </row>
    <row r="152" spans="1:15" ht="47.1" customHeight="1">
      <c r="A152" s="7">
        <v>151</v>
      </c>
      <c r="B152" s="7" t="s">
        <v>38</v>
      </c>
      <c r="C152" s="7" t="s">
        <v>662</v>
      </c>
      <c r="D152" s="7" t="s">
        <v>671</v>
      </c>
      <c r="E152" s="7" t="s">
        <v>672</v>
      </c>
      <c r="F152" s="7" t="s">
        <v>673</v>
      </c>
      <c r="G152" s="7" t="s">
        <v>674</v>
      </c>
      <c r="H152" s="8" t="s">
        <v>59</v>
      </c>
      <c r="I152" s="8">
        <v>2</v>
      </c>
      <c r="J152" s="8" t="s">
        <v>81</v>
      </c>
      <c r="K152" s="8" t="s">
        <v>192</v>
      </c>
      <c r="L152" s="9"/>
      <c r="M152" s="9"/>
      <c r="N152" s="9"/>
      <c r="O152" s="7"/>
    </row>
    <row r="153" spans="1:15" ht="26.85" customHeight="1">
      <c r="A153" s="7">
        <v>152</v>
      </c>
      <c r="B153" s="7" t="s">
        <v>38</v>
      </c>
      <c r="C153" s="7" t="s">
        <v>662</v>
      </c>
      <c r="D153" s="7" t="s">
        <v>675</v>
      </c>
      <c r="E153" s="7" t="s">
        <v>676</v>
      </c>
      <c r="F153" s="7" t="s">
        <v>677</v>
      </c>
      <c r="G153" s="7" t="s">
        <v>678</v>
      </c>
      <c r="H153" s="8" t="s">
        <v>59</v>
      </c>
      <c r="I153" s="8">
        <v>2</v>
      </c>
      <c r="J153" s="8" t="s">
        <v>81</v>
      </c>
      <c r="K153" s="8" t="s">
        <v>192</v>
      </c>
      <c r="L153" s="9"/>
      <c r="M153" s="9"/>
      <c r="N153" s="9"/>
      <c r="O153" s="7"/>
    </row>
    <row r="154" spans="1:15" ht="26.85" customHeight="1">
      <c r="A154" s="7">
        <v>153</v>
      </c>
      <c r="B154" s="7" t="s">
        <v>38</v>
      </c>
      <c r="C154" s="7" t="s">
        <v>662</v>
      </c>
      <c r="D154" s="7" t="s">
        <v>679</v>
      </c>
      <c r="E154" s="7" t="s">
        <v>680</v>
      </c>
      <c r="F154" s="7" t="s">
        <v>681</v>
      </c>
      <c r="G154" s="7" t="s">
        <v>682</v>
      </c>
      <c r="H154" s="8" t="s">
        <v>59</v>
      </c>
      <c r="I154" s="8">
        <v>2</v>
      </c>
      <c r="J154" s="8" t="s">
        <v>81</v>
      </c>
      <c r="K154" s="8" t="s">
        <v>192</v>
      </c>
      <c r="L154" s="9"/>
      <c r="M154" s="9"/>
      <c r="N154" s="9"/>
      <c r="O154" s="7"/>
    </row>
    <row r="155" spans="1:15" ht="26.85" customHeight="1">
      <c r="A155" s="7">
        <v>154</v>
      </c>
      <c r="B155" s="7" t="s">
        <v>38</v>
      </c>
      <c r="C155" s="7" t="s">
        <v>683</v>
      </c>
      <c r="D155" s="7" t="s">
        <v>684</v>
      </c>
      <c r="E155" s="7" t="s">
        <v>685</v>
      </c>
      <c r="F155" s="7" t="s">
        <v>686</v>
      </c>
      <c r="G155" s="7" t="s">
        <v>687</v>
      </c>
      <c r="H155" s="8" t="s">
        <v>59</v>
      </c>
      <c r="I155" s="8">
        <v>2</v>
      </c>
      <c r="J155" s="8" t="s">
        <v>81</v>
      </c>
      <c r="K155" s="8" t="s">
        <v>192</v>
      </c>
      <c r="L155" s="9"/>
      <c r="M155" s="9"/>
      <c r="N155" s="9"/>
      <c r="O155" s="7"/>
    </row>
    <row r="156" spans="1:15" ht="26.85" customHeight="1">
      <c r="A156" s="7">
        <v>155</v>
      </c>
      <c r="B156" s="7" t="s">
        <v>38</v>
      </c>
      <c r="C156" s="7" t="s">
        <v>688</v>
      </c>
      <c r="D156" s="7" t="s">
        <v>689</v>
      </c>
      <c r="E156" s="7" t="s">
        <v>690</v>
      </c>
      <c r="F156" s="7" t="s">
        <v>691</v>
      </c>
      <c r="G156" s="7" t="s">
        <v>692</v>
      </c>
      <c r="H156" s="8" t="s">
        <v>59</v>
      </c>
      <c r="I156" s="8">
        <v>2</v>
      </c>
      <c r="J156" s="8" t="s">
        <v>81</v>
      </c>
      <c r="K156" s="8" t="s">
        <v>192</v>
      </c>
      <c r="L156" s="9"/>
      <c r="M156" s="9"/>
      <c r="N156" s="9"/>
      <c r="O156" s="7"/>
    </row>
    <row r="157" spans="1:15" ht="26.85" customHeight="1">
      <c r="A157" s="7">
        <v>156</v>
      </c>
      <c r="B157" s="7" t="s">
        <v>38</v>
      </c>
      <c r="C157" s="7" t="s">
        <v>688</v>
      </c>
      <c r="D157" s="7" t="s">
        <v>693</v>
      </c>
      <c r="E157" s="7" t="s">
        <v>694</v>
      </c>
      <c r="F157" s="7" t="s">
        <v>695</v>
      </c>
      <c r="G157" s="7" t="s">
        <v>696</v>
      </c>
      <c r="H157" s="8" t="s">
        <v>59</v>
      </c>
      <c r="I157" s="8">
        <v>2</v>
      </c>
      <c r="J157" s="8" t="s">
        <v>81</v>
      </c>
      <c r="K157" s="8" t="s">
        <v>192</v>
      </c>
      <c r="L157" s="9"/>
      <c r="M157" s="9"/>
      <c r="N157" s="9"/>
      <c r="O157" s="7"/>
    </row>
    <row r="158" spans="1:15" ht="26.85" customHeight="1">
      <c r="A158" s="7">
        <v>157</v>
      </c>
      <c r="B158" s="7" t="s">
        <v>38</v>
      </c>
      <c r="C158" s="7" t="s">
        <v>697</v>
      </c>
      <c r="D158" s="7" t="s">
        <v>698</v>
      </c>
      <c r="E158" s="7" t="s">
        <v>699</v>
      </c>
      <c r="F158" s="7" t="s">
        <v>700</v>
      </c>
      <c r="G158" s="7" t="s">
        <v>701</v>
      </c>
      <c r="H158" s="8" t="s">
        <v>59</v>
      </c>
      <c r="I158" s="8">
        <v>2</v>
      </c>
      <c r="J158" s="8" t="s">
        <v>81</v>
      </c>
      <c r="K158" s="8" t="s">
        <v>192</v>
      </c>
      <c r="L158" s="9"/>
      <c r="M158" s="9"/>
      <c r="N158" s="9"/>
      <c r="O158" s="7"/>
    </row>
    <row r="159" spans="1:15" ht="47.1" customHeight="1">
      <c r="A159" s="7">
        <v>158</v>
      </c>
      <c r="B159" s="7" t="s">
        <v>39</v>
      </c>
      <c r="C159" s="7" t="s">
        <v>702</v>
      </c>
      <c r="D159" s="7" t="s">
        <v>703</v>
      </c>
      <c r="E159" s="7" t="s">
        <v>844</v>
      </c>
      <c r="F159" s="7" t="s">
        <v>704</v>
      </c>
      <c r="G159" s="7" t="s">
        <v>705</v>
      </c>
      <c r="H159" s="8" t="s">
        <v>59</v>
      </c>
      <c r="I159" s="8">
        <v>2</v>
      </c>
      <c r="J159" s="8" t="s">
        <v>81</v>
      </c>
      <c r="K159" s="8" t="s">
        <v>192</v>
      </c>
      <c r="L159" s="9"/>
      <c r="M159" s="9"/>
      <c r="N159" s="9"/>
      <c r="O159" s="7"/>
    </row>
    <row r="160" spans="1:15" ht="26.85" customHeight="1">
      <c r="A160" s="7">
        <v>159</v>
      </c>
      <c r="B160" s="7" t="s">
        <v>39</v>
      </c>
      <c r="C160" s="7" t="s">
        <v>706</v>
      </c>
      <c r="D160" s="7" t="s">
        <v>707</v>
      </c>
      <c r="E160" s="7" t="s">
        <v>708</v>
      </c>
      <c r="F160" s="7" t="s">
        <v>709</v>
      </c>
      <c r="G160" s="7" t="s">
        <v>710</v>
      </c>
      <c r="H160" s="8" t="s">
        <v>59</v>
      </c>
      <c r="I160" s="8">
        <v>2</v>
      </c>
      <c r="J160" s="8" t="s">
        <v>81</v>
      </c>
      <c r="K160" s="8" t="s">
        <v>192</v>
      </c>
      <c r="L160" s="9"/>
      <c r="M160" s="9"/>
      <c r="N160" s="9"/>
      <c r="O160" s="7"/>
    </row>
    <row r="161" spans="1:15" ht="47.1" customHeight="1">
      <c r="A161" s="7">
        <v>160</v>
      </c>
      <c r="B161" s="7" t="s">
        <v>39</v>
      </c>
      <c r="C161" s="7" t="s">
        <v>711</v>
      </c>
      <c r="D161" s="7" t="s">
        <v>712</v>
      </c>
      <c r="E161" s="7" t="s">
        <v>713</v>
      </c>
      <c r="F161" s="7" t="s">
        <v>704</v>
      </c>
      <c r="G161" s="7" t="s">
        <v>714</v>
      </c>
      <c r="H161" s="8" t="s">
        <v>59</v>
      </c>
      <c r="I161" s="8">
        <v>2</v>
      </c>
      <c r="J161" s="8" t="s">
        <v>81</v>
      </c>
      <c r="K161" s="8" t="s">
        <v>192</v>
      </c>
      <c r="L161" s="9"/>
      <c r="M161" s="9"/>
      <c r="N161" s="9"/>
      <c r="O161" s="7"/>
    </row>
    <row r="162" spans="1:15" ht="47.1" customHeight="1">
      <c r="A162" s="7">
        <v>161</v>
      </c>
      <c r="B162" s="7" t="s">
        <v>39</v>
      </c>
      <c r="C162" s="7" t="s">
        <v>187</v>
      </c>
      <c r="D162" s="7" t="s">
        <v>715</v>
      </c>
      <c r="E162" s="7" t="s">
        <v>716</v>
      </c>
      <c r="F162" s="7" t="s">
        <v>717</v>
      </c>
      <c r="G162" s="7" t="s">
        <v>718</v>
      </c>
      <c r="H162" s="8" t="s">
        <v>59</v>
      </c>
      <c r="I162" s="8">
        <v>2</v>
      </c>
      <c r="J162" s="8" t="s">
        <v>81</v>
      </c>
      <c r="K162" s="8" t="s">
        <v>192</v>
      </c>
      <c r="L162" s="9"/>
      <c r="M162" s="9"/>
      <c r="N162" s="9"/>
      <c r="O162" s="7"/>
    </row>
    <row r="163" spans="1:15" ht="26.85" customHeight="1">
      <c r="A163" s="7">
        <v>162</v>
      </c>
      <c r="B163" s="7" t="s">
        <v>39</v>
      </c>
      <c r="C163" s="7" t="s">
        <v>187</v>
      </c>
      <c r="D163" s="7" t="s">
        <v>719</v>
      </c>
      <c r="E163" s="7" t="s">
        <v>720</v>
      </c>
      <c r="F163" s="7" t="s">
        <v>721</v>
      </c>
      <c r="G163" s="7" t="s">
        <v>722</v>
      </c>
      <c r="H163" s="8" t="s">
        <v>59</v>
      </c>
      <c r="I163" s="8">
        <v>2</v>
      </c>
      <c r="J163" s="8" t="s">
        <v>81</v>
      </c>
      <c r="K163" s="8" t="s">
        <v>192</v>
      </c>
      <c r="L163" s="9"/>
      <c r="M163" s="9"/>
      <c r="N163" s="9"/>
      <c r="O163" s="7"/>
    </row>
    <row r="164" spans="1:15" ht="47.1" customHeight="1">
      <c r="A164" s="7">
        <v>163</v>
      </c>
      <c r="B164" s="7" t="s">
        <v>39</v>
      </c>
      <c r="C164" s="7" t="s">
        <v>723</v>
      </c>
      <c r="D164" s="7" t="s">
        <v>724</v>
      </c>
      <c r="E164" s="7" t="s">
        <v>725</v>
      </c>
      <c r="F164" s="7" t="s">
        <v>726</v>
      </c>
      <c r="G164" s="7" t="s">
        <v>727</v>
      </c>
      <c r="H164" s="8" t="s">
        <v>59</v>
      </c>
      <c r="I164" s="8">
        <v>2</v>
      </c>
      <c r="J164" s="8" t="s">
        <v>81</v>
      </c>
      <c r="K164" s="8" t="s">
        <v>192</v>
      </c>
      <c r="L164" s="9"/>
      <c r="M164" s="9"/>
      <c r="N164" s="9"/>
      <c r="O164" s="7"/>
    </row>
    <row r="165" spans="1:15" ht="26.85" customHeight="1">
      <c r="A165" s="7">
        <v>164</v>
      </c>
      <c r="B165" s="7" t="s">
        <v>39</v>
      </c>
      <c r="C165" s="7" t="s">
        <v>728</v>
      </c>
      <c r="D165" s="7" t="s">
        <v>729</v>
      </c>
      <c r="E165" s="7" t="s">
        <v>730</v>
      </c>
      <c r="F165" s="7" t="s">
        <v>731</v>
      </c>
      <c r="G165" s="7" t="s">
        <v>732</v>
      </c>
      <c r="H165" s="8" t="s">
        <v>59</v>
      </c>
      <c r="I165" s="8">
        <v>2</v>
      </c>
      <c r="J165" s="8" t="s">
        <v>81</v>
      </c>
      <c r="K165" s="8" t="s">
        <v>192</v>
      </c>
      <c r="L165" s="9"/>
      <c r="M165" s="9"/>
      <c r="N165" s="9"/>
      <c r="O165" s="7"/>
    </row>
  </sheetData>
  <phoneticPr fontId="2" type="noConversion"/>
  <conditionalFormatting sqref="J2:J165">
    <cfRule type="expression" dxfId="6" priority="1">
      <formula>$J2="☑"</formula>
    </cfRule>
  </conditionalFormatting>
  <conditionalFormatting sqref="K2:K165">
    <cfRule type="expression" dxfId="5" priority="2">
      <formula>$K2="已完成"</formula>
    </cfRule>
    <cfRule type="expression" dxfId="4" priority="3">
      <formula>$K2="进行中"</formula>
    </cfRule>
    <cfRule type="expression" dxfId="3" priority="4">
      <formula>$K2="阻塞"</formula>
    </cfRule>
    <cfRule type="expression" dxfId="2" priority="5">
      <formula>$K2="暂缓"</formula>
    </cfRule>
  </conditionalFormatting>
  <dataValidations count="3">
    <dataValidation type="list" sqref="J2:J165" xr:uid="{00000000-0002-0000-0100-000000000000}">
      <formula1>"☐,☑"</formula1>
    </dataValidation>
    <dataValidation type="list" sqref="K2:K165" xr:uid="{00000000-0002-0000-0100-000001000000}">
      <formula1>"未开始,进行中,已完成,阻塞,暂缓"</formula1>
    </dataValidation>
    <dataValidation type="list" sqref="H2:H165" xr:uid="{00000000-0002-0000-0100-000002000000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ColWidth="8.875" defaultRowHeight="14.25"/>
  <cols>
    <col min="1" max="1" width="7" customWidth="1"/>
    <col min="2" max="2" width="16" customWidth="1"/>
    <col min="3" max="3" width="24" customWidth="1"/>
    <col min="4" max="4" width="48" customWidth="1"/>
    <col min="5" max="5" width="42" customWidth="1"/>
    <col min="6" max="6" width="9" customWidth="1"/>
    <col min="7" max="7" width="12" customWidth="1"/>
    <col min="8" max="8" width="28" customWidth="1"/>
  </cols>
  <sheetData>
    <row r="1" spans="1:8" ht="26.85" customHeight="1">
      <c r="A1" s="2" t="s">
        <v>733</v>
      </c>
      <c r="B1" s="2" t="s">
        <v>734</v>
      </c>
      <c r="C1" s="2" t="s">
        <v>735</v>
      </c>
      <c r="D1" s="2" t="s">
        <v>736</v>
      </c>
      <c r="E1" s="2" t="s">
        <v>737</v>
      </c>
      <c r="F1" s="2" t="s">
        <v>48</v>
      </c>
      <c r="G1" s="2" t="s">
        <v>49</v>
      </c>
      <c r="H1" s="2" t="s">
        <v>53</v>
      </c>
    </row>
    <row r="2" spans="1:8" ht="47.1" customHeight="1">
      <c r="A2" s="4">
        <v>1</v>
      </c>
      <c r="B2" s="4" t="s">
        <v>738</v>
      </c>
      <c r="C2" s="4" t="s">
        <v>739</v>
      </c>
      <c r="D2" s="4" t="s">
        <v>740</v>
      </c>
      <c r="E2" s="4" t="s">
        <v>741</v>
      </c>
      <c r="F2" s="4" t="s">
        <v>60</v>
      </c>
      <c r="G2" s="4" t="s">
        <v>61</v>
      </c>
      <c r="H2" s="4" t="s">
        <v>845</v>
      </c>
    </row>
    <row r="3" spans="1:8" ht="26.85" customHeight="1">
      <c r="A3" s="4">
        <v>2</v>
      </c>
      <c r="B3" s="4" t="s">
        <v>738</v>
      </c>
      <c r="C3" s="4" t="s">
        <v>742</v>
      </c>
      <c r="D3" s="4" t="s">
        <v>743</v>
      </c>
      <c r="E3" s="4" t="s">
        <v>744</v>
      </c>
      <c r="F3" s="4" t="s">
        <v>81</v>
      </c>
      <c r="G3" s="4" t="s">
        <v>192</v>
      </c>
      <c r="H3" s="4"/>
    </row>
    <row r="4" spans="1:8" ht="26.85" customHeight="1">
      <c r="A4" s="4">
        <v>3</v>
      </c>
      <c r="B4" s="4" t="s">
        <v>738</v>
      </c>
      <c r="C4" s="4" t="s">
        <v>745</v>
      </c>
      <c r="D4" s="4" t="s">
        <v>746</v>
      </c>
      <c r="E4" s="4" t="s">
        <v>747</v>
      </c>
      <c r="F4" s="4" t="s">
        <v>81</v>
      </c>
      <c r="G4" s="4" t="s">
        <v>192</v>
      </c>
      <c r="H4" s="4"/>
    </row>
    <row r="5" spans="1:8" ht="26.85" customHeight="1">
      <c r="A5" s="4">
        <v>4</v>
      </c>
      <c r="B5" s="4" t="s">
        <v>738</v>
      </c>
      <c r="C5" s="4" t="s">
        <v>748</v>
      </c>
      <c r="D5" s="4" t="s">
        <v>749</v>
      </c>
      <c r="E5" s="4" t="s">
        <v>750</v>
      </c>
      <c r="F5" s="4" t="s">
        <v>81</v>
      </c>
      <c r="G5" s="4" t="s">
        <v>192</v>
      </c>
      <c r="H5" s="4"/>
    </row>
    <row r="6" spans="1:8" ht="26.85" customHeight="1">
      <c r="A6" s="4">
        <v>5</v>
      </c>
      <c r="B6" s="4" t="s">
        <v>738</v>
      </c>
      <c r="C6" s="4" t="s">
        <v>428</v>
      </c>
      <c r="D6" s="4" t="s">
        <v>751</v>
      </c>
      <c r="E6" s="4" t="s">
        <v>750</v>
      </c>
      <c r="F6" s="4" t="s">
        <v>60</v>
      </c>
      <c r="G6" s="4" t="s">
        <v>61</v>
      </c>
      <c r="H6" s="4" t="s">
        <v>846</v>
      </c>
    </row>
    <row r="7" spans="1:8" ht="26.85" customHeight="1">
      <c r="A7" s="4">
        <v>6</v>
      </c>
      <c r="B7" s="4" t="s">
        <v>738</v>
      </c>
      <c r="C7" s="4" t="s">
        <v>752</v>
      </c>
      <c r="D7" s="4" t="s">
        <v>753</v>
      </c>
      <c r="E7" s="4" t="s">
        <v>754</v>
      </c>
      <c r="F7" s="4" t="s">
        <v>81</v>
      </c>
      <c r="G7" s="4" t="s">
        <v>192</v>
      </c>
      <c r="H7" s="4"/>
    </row>
    <row r="8" spans="1:8" ht="26.85" customHeight="1">
      <c r="A8" s="4">
        <v>7</v>
      </c>
      <c r="B8" s="4" t="s">
        <v>755</v>
      </c>
      <c r="C8" s="4" t="s">
        <v>756</v>
      </c>
      <c r="D8" s="4" t="s">
        <v>757</v>
      </c>
      <c r="E8" s="4" t="s">
        <v>758</v>
      </c>
      <c r="F8" s="4" t="s">
        <v>60</v>
      </c>
      <c r="G8" s="4" t="s">
        <v>61</v>
      </c>
      <c r="H8" s="4" t="s">
        <v>847</v>
      </c>
    </row>
    <row r="9" spans="1:8" ht="26.85" customHeight="1">
      <c r="A9" s="4">
        <v>8</v>
      </c>
      <c r="B9" s="4" t="s">
        <v>755</v>
      </c>
      <c r="C9" s="4" t="s">
        <v>759</v>
      </c>
      <c r="D9" s="4" t="s">
        <v>760</v>
      </c>
      <c r="E9" s="4" t="s">
        <v>761</v>
      </c>
      <c r="F9" s="4" t="s">
        <v>60</v>
      </c>
      <c r="G9" s="4" t="s">
        <v>61</v>
      </c>
      <c r="H9" s="4" t="s">
        <v>848</v>
      </c>
    </row>
    <row r="10" spans="1:8" ht="26.85" customHeight="1">
      <c r="A10" s="4">
        <v>9</v>
      </c>
      <c r="B10" s="4" t="s">
        <v>755</v>
      </c>
      <c r="C10" s="4" t="s">
        <v>762</v>
      </c>
      <c r="D10" s="4" t="s">
        <v>763</v>
      </c>
      <c r="E10" s="4" t="s">
        <v>764</v>
      </c>
      <c r="F10" s="4" t="s">
        <v>81</v>
      </c>
      <c r="G10" s="4" t="s">
        <v>192</v>
      </c>
      <c r="H10" s="4"/>
    </row>
    <row r="11" spans="1:8" ht="26.85" customHeight="1">
      <c r="A11" s="4">
        <v>10</v>
      </c>
      <c r="B11" s="4" t="s">
        <v>765</v>
      </c>
      <c r="C11" s="4" t="s">
        <v>766</v>
      </c>
      <c r="D11" s="4" t="s">
        <v>767</v>
      </c>
      <c r="E11" s="4" t="s">
        <v>768</v>
      </c>
      <c r="F11" s="4" t="s">
        <v>60</v>
      </c>
      <c r="G11" s="4" t="s">
        <v>61</v>
      </c>
      <c r="H11" s="4" t="s">
        <v>849</v>
      </c>
    </row>
    <row r="12" spans="1:8" ht="26.85" customHeight="1">
      <c r="A12" s="4">
        <v>11</v>
      </c>
      <c r="B12" s="4" t="s">
        <v>765</v>
      </c>
      <c r="C12" s="4" t="s">
        <v>769</v>
      </c>
      <c r="D12" s="4" t="s">
        <v>770</v>
      </c>
      <c r="E12" s="4" t="s">
        <v>771</v>
      </c>
      <c r="F12" s="4" t="s">
        <v>60</v>
      </c>
      <c r="G12" s="4" t="s">
        <v>61</v>
      </c>
      <c r="H12" s="4" t="s">
        <v>850</v>
      </c>
    </row>
    <row r="13" spans="1:8" ht="26.85" customHeight="1">
      <c r="A13" s="4">
        <v>12</v>
      </c>
      <c r="B13" s="4" t="s">
        <v>772</v>
      </c>
      <c r="C13" s="4" t="s">
        <v>773</v>
      </c>
      <c r="D13" s="4" t="s">
        <v>774</v>
      </c>
      <c r="E13" s="4" t="s">
        <v>775</v>
      </c>
      <c r="F13" s="4" t="s">
        <v>81</v>
      </c>
      <c r="G13" s="4" t="s">
        <v>192</v>
      </c>
      <c r="H13" s="4"/>
    </row>
    <row r="14" spans="1:8" ht="26.85" customHeight="1">
      <c r="A14" s="4">
        <v>13</v>
      </c>
      <c r="B14" s="4" t="s">
        <v>772</v>
      </c>
      <c r="C14" s="4" t="s">
        <v>776</v>
      </c>
      <c r="D14" s="4" t="s">
        <v>777</v>
      </c>
      <c r="E14" s="4" t="s">
        <v>778</v>
      </c>
      <c r="F14" s="4" t="s">
        <v>81</v>
      </c>
      <c r="G14" s="4" t="s">
        <v>192</v>
      </c>
      <c r="H14" s="4"/>
    </row>
    <row r="15" spans="1:8" ht="26.85" customHeight="1">
      <c r="A15" s="4">
        <v>14</v>
      </c>
      <c r="B15" s="4" t="s">
        <v>779</v>
      </c>
      <c r="C15" s="4" t="s">
        <v>780</v>
      </c>
      <c r="D15" s="4" t="s">
        <v>781</v>
      </c>
      <c r="E15" s="4" t="s">
        <v>782</v>
      </c>
      <c r="F15" s="4" t="s">
        <v>81</v>
      </c>
      <c r="G15" s="4" t="s">
        <v>192</v>
      </c>
      <c r="H15" s="4"/>
    </row>
    <row r="16" spans="1:8" ht="26.85" customHeight="1">
      <c r="A16" s="4">
        <v>15</v>
      </c>
      <c r="B16" s="4" t="s">
        <v>779</v>
      </c>
      <c r="C16" s="4" t="s">
        <v>783</v>
      </c>
      <c r="D16" s="4" t="s">
        <v>784</v>
      </c>
      <c r="E16" s="4" t="s">
        <v>785</v>
      </c>
      <c r="F16" s="4" t="s">
        <v>81</v>
      </c>
      <c r="G16" s="4" t="s">
        <v>192</v>
      </c>
      <c r="H16" s="4"/>
    </row>
    <row r="17" spans="1:8" ht="26.85" customHeight="1">
      <c r="A17" s="4">
        <v>16</v>
      </c>
      <c r="B17" s="4" t="s">
        <v>786</v>
      </c>
      <c r="C17" s="4" t="s">
        <v>787</v>
      </c>
      <c r="D17" s="4" t="s">
        <v>788</v>
      </c>
      <c r="E17" s="4" t="s">
        <v>789</v>
      </c>
      <c r="F17" s="4" t="s">
        <v>81</v>
      </c>
      <c r="G17" s="4" t="s">
        <v>192</v>
      </c>
      <c r="H17" s="4"/>
    </row>
    <row r="18" spans="1:8" ht="26.85" customHeight="1">
      <c r="A18" s="4">
        <v>17</v>
      </c>
      <c r="B18" s="4" t="s">
        <v>786</v>
      </c>
      <c r="C18" s="4" t="s">
        <v>790</v>
      </c>
      <c r="D18" s="4" t="s">
        <v>791</v>
      </c>
      <c r="E18" s="4" t="s">
        <v>792</v>
      </c>
      <c r="F18" s="4" t="s">
        <v>81</v>
      </c>
      <c r="G18" s="4" t="s">
        <v>192</v>
      </c>
      <c r="H18" s="4"/>
    </row>
  </sheetData>
  <phoneticPr fontId="2" type="noConversion"/>
  <conditionalFormatting sqref="F2:F18">
    <cfRule type="expression" dxfId="1" priority="1">
      <formula>$F2="☑"</formula>
    </cfRule>
  </conditionalFormatting>
  <conditionalFormatting sqref="G2:G18">
    <cfRule type="expression" dxfId="0" priority="2">
      <formula>$G2="阻塞"</formula>
    </cfRule>
  </conditionalFormatting>
  <dataValidations count="2">
    <dataValidation type="list" sqref="F2:F18" xr:uid="{00000000-0002-0000-0200-000000000000}">
      <formula1>"☐,☑"</formula1>
    </dataValidation>
    <dataValidation type="list" sqref="G2:G18" xr:uid="{00000000-0002-0000-0200-000001000000}">
      <formula1>"未开始,进行中,已完成,阻塞,暂缓"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/>
  </sheetViews>
  <sheetFormatPr defaultColWidth="8.875" defaultRowHeight="14.25"/>
  <cols>
    <col min="1" max="1" width="100" customWidth="1"/>
  </cols>
  <sheetData>
    <row r="1" spans="1:1" ht="33.950000000000003" customHeight="1">
      <c r="A1" s="10" t="s">
        <v>793</v>
      </c>
    </row>
    <row r="2" spans="1:1" ht="26.85" customHeight="1">
      <c r="A2" s="4" t="s">
        <v>794</v>
      </c>
    </row>
    <row r="3" spans="1:1" ht="26.85" customHeight="1">
      <c r="A3" s="4" t="s">
        <v>795</v>
      </c>
    </row>
    <row r="4" spans="1:1" ht="26.85" customHeight="1">
      <c r="A4" s="4" t="s">
        <v>796</v>
      </c>
    </row>
    <row r="5" spans="1:1" ht="26.85" customHeight="1">
      <c r="A5" s="4" t="s">
        <v>797</v>
      </c>
    </row>
    <row r="6" spans="1:1" ht="26.85" customHeight="1">
      <c r="A6" s="4" t="s">
        <v>798</v>
      </c>
    </row>
    <row r="7" spans="1:1" ht="26.85" customHeight="1">
      <c r="A7" s="4" t="s">
        <v>799</v>
      </c>
    </row>
    <row r="8" spans="1:1" ht="26.85" customHeight="1">
      <c r="A8" s="4" t="s">
        <v>800</v>
      </c>
    </row>
    <row r="9" spans="1:1" ht="26.85" customHeight="1">
      <c r="A9" s="4" t="s">
        <v>801</v>
      </c>
    </row>
    <row r="10" spans="1:1" ht="26.85" customHeight="1">
      <c r="A10" s="4" t="s">
        <v>802</v>
      </c>
    </row>
    <row r="11" spans="1:1">
      <c r="A11" s="1" t="s">
        <v>803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任务清单</vt:lpstr>
      <vt:lpstr>关键流程检查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佳挺 钟</cp:lastModifiedBy>
  <dcterms:modified xsi:type="dcterms:W3CDTF">2026-05-29T03:06:16Z</dcterms:modified>
</cp:coreProperties>
</file>