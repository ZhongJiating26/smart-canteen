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4abd0a374747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5ecb4ed35d1e4fed"/>
    <x:sheet xmlns:r="http://schemas.openxmlformats.org/officeDocument/2006/relationships" name="任务清单" sheetId="2" r:id="R6c47f50876944bdc"/>
    <x:sheet xmlns:r="http://schemas.openxmlformats.org/officeDocument/2006/relationships" name="关键流程检查" sheetId="3" r:id="Rd621344c37a14015"/>
    <x:sheet xmlns:r="http://schemas.openxmlformats.org/officeDocument/2006/relationships" name="使用说明" sheetId="4" r:id="R87e2df97cb06424e"/>
  </x:sheets>
</x:workbook>
</file>

<file path=xl/metadata1.xml><?xml version="1.0" encoding="utf-8"?>
<x:metadata xmlns:x="http://schemas.openxmlformats.org/spreadsheetml/2006/main">
  <x:metadataTypes count="1">
    <x:metadataType name="XLRICHVALUE" minSupportedVersion="120000" copy="1" pasteAll="1" pasteValues="1" merge="1" splitFirst="1" rowColShift="1" clearFormats="1" clearComments="1" assign="1" coerce="1"/>
  </x:metadataTypes>
  <x:futureMetadata name="XLRICHVALUE" count="2">
    <x:bk>
      <x:extLst>
        <x:ext uri="{3e2802c4-a4d2-4d8b-9148-e3be6c30e623}"/>
      </x:extLst>
    </x:bk>
    <x:bk>
      <x:extLst>
        <x:ext uri="{3e2802c4-a4d2-4d8b-9148-e3be6c30e623}"/>
      </x:extLst>
    </x:bk>
  </x:futureMetadata>
</x:metadata>
</file>

<file path=xl/sharedStrings.xml><?xml version="1.0" encoding="utf-8"?>
<x:sst xmlns:x="http://schemas.openxmlformats.org/spreadsheetml/2006/main">
  <x:si>
    <x:t xml:space="preserve">智能食堂系统开发任务总览</x:t>
  </x:si>
  <x:si>
    <x:t xml:space="preserve">指标</x:t>
  </x:si>
  <x:si>
    <x:t xml:space="preserve">数值</x:t>
  </x:si>
  <x:si>
    <x:t xml:space="preserve">说明</x:t>
  </x:si>
  <x:si>
    <x:t xml:space="preserve">使用方式</x:t>
  </x:si>
  <x:si>
    <x:t xml:space="preserve">总任务数</x:t>
  </x:si>
  <x:si>
    <x:t xml:space="preserve">任务清单中的全部任务</x:t>
  </x:si>
  <x:si>
    <x:t xml:space="preserve">1. 在“任务清单”中找到当前任务。
2. 完成后将“完成”列改为 ☑，并把“状态”改为 已完成。
3. 遇到问题时把“状态”改为 阻塞，并在备注中写原因。
4. “总览”页会自动统计整体进度和各阶段完成率。</x:t>
  </x:si>
  <x:si>
    <x:t xml:space="preserve">已打勾任务</x:t>
  </x:si>
  <x:si>
    <x:t xml:space="preserve">完成列为 ☑</x:t>
  </x:si>
  <x:si>
    <x:t xml:space="preserve">状态为已完成</x:t>
  </x:si>
  <x:si>
    <x:t xml:space="preserve">状态列为已完成</x:t>
  </x:si>
  <x:si>
    <x:t xml:space="preserve">进行中任务</x:t>
  </x:si>
  <x:si>
    <x:t xml:space="preserve">状态列为进行中</x:t>
  </x:si>
  <x:si>
    <x:t xml:space="preserve">阻塞任务</x:t>
  </x:si>
  <x:si>
    <x:t xml:space="preserve">状态列为阻塞</x:t>
  </x:si>
  <x:si>
    <x:t xml:space="preserve">整体完成率</x:t>
  </x:si>
  <x:si>
    <x:t xml:space="preserve">按打勾任务计算</x:t>
  </x:si>
  <x:si>
    <x:t xml:space="preserve">阶段</x:t>
  </x:si>
  <x:si>
    <x:t xml:space="preserve">总任务</x:t>
  </x:si>
  <x:si>
    <x:t xml:space="preserve">已打勾</x:t>
  </x:si>
  <x:si>
    <x:t xml:space="preserve">完成率</x:t>
  </x:si>
  <x:si>
    <x:t xml:space="preserve">进行中</x:t>
  </x:si>
  <x:si>
    <x:t xml:space="preserve">阻塞</x:t>
  </x:si>
  <x:si>
    <x:t xml:space="preserve">高优先级</x:t>
  </x:si>
  <x:si>
    <x:t xml:space="preserve">0 项目准备</x:t>
  </x:si>
  <x:si>
    <x:t xml:space="preserve">1 本地开发环境</x:t>
  </x:si>
  <x:si>
    <x:t xml:space="preserve">2 数据库与基础组件</x:t>
  </x:si>
  <x:si>
    <x:t xml:space="preserve">3 后端工程骨架</x:t>
  </x:si>
  <x:si>
    <x:t xml:space="preserve">4 公共模块</x:t>
  </x:si>
  <x:si>
    <x:t xml:space="preserve">5 用户服务</x:t>
  </x:si>
  <x:si>
    <x:t xml:space="preserve">6 菜品菜单服务</x:t>
  </x:si>
  <x:si>
    <x:t xml:space="preserve">7 取餐排队服务</x:t>
  </x:si>
  <x:si>
    <x:t xml:space="preserve">8 订单服务</x:t>
  </x:si>
  <x:si>
    <x:t xml:space="preserve">9 网关服务</x:t>
  </x:si>
  <x:si>
    <x:t xml:space="preserve">10 中间件联调</x:t>
  </x:si>
  <x:si>
    <x:t xml:space="preserve">11 前端开发</x:t>
  </x:si>
  <x:si>
    <x:t xml:space="preserve">12 测试与修复</x:t>
  </x:si>
  <x:si>
    <x:t xml:space="preserve">13 容器化与部署</x:t>
  </x:si>
  <x:si>
    <x:t xml:space="preserve">14 验收与答辩</x:t>
  </x:si>
  <x:si>
    <x:t xml:space="preserve">ID</x:t>
  </x:si>
  <x:si>
    <x:t xml:space="preserve">分类</x:t>
  </x:si>
  <x:si>
    <x:t xml:space="preserve">子任务</x:t>
  </x:si>
  <x:si>
    <x:t xml:space="preserve">具体要做</x:t>
  </x:si>
  <x:si>
    <x:t xml:space="preserve">前置依赖</x:t>
  </x:si>
  <x:si>
    <x:t xml:space="preserve">验收标准</x:t>
  </x:si>
  <x:si>
    <x:t xml:space="preserve">优先级</x:t>
  </x:si>
  <x:si>
    <x:t xml:space="preserve">预计工时(h)</x:t>
  </x:si>
  <x:si>
    <x:t xml:space="preserve">完成</x:t>
  </x:si>
  <x:si>
    <x:t xml:space="preserve">状态</x:t>
  </x:si>
  <x:si>
    <x:t xml:space="preserve">计划开始</x:t>
  </x:si>
  <x:si>
    <x:t xml:space="preserve">计划结束</x:t>
  </x:si>
  <x:si>
    <x:t xml:space="preserve">实际完成</x:t>
  </x:si>
  <x:si>
    <x:t xml:space="preserve">备注</x:t>
  </x:si>
  <x:si>
    <x:t xml:space="preserve">范围确认</x:t>
  </x:si>
  <x:si>
    <x:t xml:space="preserve">固定最低可交付范围</x:t>
  </x:si>
  <x:si>
    <x:t xml:space="preserve">确认必须交付用户/菜单/订单/取餐/网关/四端前端/K3S部署；不做真实支付、一卡通、优惠券等扩展</x:t>
  </x:si>
  <x:si>
    <x:t xml:space="preserve">需求规格说明书、概要设计</x:t>
  </x:si>
  <x:si>
    <x:t xml:space="preserve">形成 README 中的 MVP 范围清单</x:t>
  </x:si>
  <x:si>
    <x:t xml:space="preserve">高</x:t>
  </x:si>
  <x:si>
    <x:t xml:space="preserve">☑</x:t>
  </x:si>
  <x:si>
    <x:t xml:space="preserve">已完成</x:t>
  </x:si>
  <x:si>
    <x:t xml:space="preserve">仓库初始化</x:t>
  </x:si>
  <x:si>
    <x:t xml:space="preserve">创建 Git 仓库</x:t>
  </x:si>
  <x:si>
    <x:t xml:space="preserve">建立 backend、frontend、deploy、docs 目录；设置 .gitignore；首次提交</x:t>
  </x:si>
  <x:si>
    <x:t xml:space="preserve">无</x:t>
  </x:si>
  <x:si>
    <x:t xml:space="preserve">仓库结构清晰，可正常提交代码</x:t>
  </x:si>
  <x:si>
    <x:t xml:space="preserve">规范制定</x:t>
  </x:si>
  <x:si>
    <x:t xml:space="preserve">提交规范与分支策略</x:t>
  </x:si>
  <x:si>
    <x:t xml:space="preserve">确定 feat/fix/docs/test/refactor/chore 提交前缀；main/dev 分支策略</x:t>
  </x:si>
  <x:si>
    <x:t xml:space="preserve">Git 仓库</x:t>
  </x:si>
  <x:si>
    <x:t xml:space="preserve">README 中记录规范</x:t>
  </x:si>
  <x:si>
    <x:t xml:space="preserve">任务管理</x:t>
  </x:si>
  <x:si>
    <x:t xml:space="preserve">建立开发看板</x:t>
  </x:si>
  <x:si>
    <x:t xml:space="preserve">按本表阶段建立任务，看板可选 GitHub Issues/本 Excel</x:t>
  </x:si>
  <x:si>
    <x:t xml:space="preserve">开发计划</x:t>
  </x:si>
  <x:si>
    <x:t xml:space="preserve">任务可追踪、可打勾</x:t>
  </x:si>
  <x:si>
    <x:t xml:space="preserve">演示规划</x:t>
  </x:si>
  <x:si>
    <x:t xml:space="preserve">确定演示主流程</x:t>
  </x:si>
  <x:si>
    <x:t xml:space="preserve">MVP 范围</x:t>
  </x:si>
  <x:si>
    <x:t xml:space="preserve">有一条完整演示脚本草稿</x:t>
  </x:si>
  <x:si>
    <x:t xml:space="preserve">☐</x:t>
  </x:si>
  <x:si>
    <x:t xml:space="preserve">暂缓</x:t>
  </x:si>
  <x:si>
    <x:t xml:space="preserve">基础工具</x:t>
  </x:si>
  <x:si>
    <x:t xml:space="preserve">安装 JDK 17</x:t>
  </x:si>
  <x:si>
    <x:t xml:space="preserve">安装并配置 JAVA_HOME；IDEA 能识别 JDK</x:t>
  </x:si>
  <x:si>
    <x:t xml:space="preserve">java -version 显示 17</x:t>
  </x:si>
  <x:si>
    <x:t xml:space="preserve">安装 Maven 3.9+</x:t>
  </x:si>
  <x:si>
    <x:t xml:space="preserve">配置本地仓库和镜像源</x:t>
  </x:si>
  <x:si>
    <x:t xml:space="preserve">JDK</x:t>
  </x:si>
  <x:si>
    <x:t xml:space="preserve">mvn -v 正常</x:t>
  </x:si>
  <x:si>
    <x:t xml:space="preserve">前端工具</x:t>
  </x:si>
  <x:si>
    <x:t xml:space="preserve">安装 Node.js 20+ 与 pnpm</x:t>
  </x:si>
  <x:si>
    <x:t xml:space="preserve">配置包管理器和镜像源</x:t>
  </x:si>
  <x:si>
    <x:t xml:space="preserve">node -v、pnpm -v 正常</x:t>
  </x:si>
  <x:si>
    <x:t xml:space="preserve">容器工具</x:t>
  </x:si>
  <x:si>
    <x:t xml:space="preserve">安装 Docker</x:t>
  </x:si>
  <x:si>
    <x:t xml:space="preserve">Docker Desktop 或 Linux Docker Engine 可用</x:t>
  </x:si>
  <x:si>
    <x:t xml:space="preserve">docker ps 正常</x:t>
  </x:si>
  <x:si>
    <x:t xml:space="preserve">数据库工具</x:t>
  </x:si>
  <x:si>
    <x:t xml:space="preserve">安装 DBeaver/Navicat</x:t>
  </x:si>
  <x:si>
    <x:t xml:space="preserve">能连接本地 MySQL 容器</x:t>
  </x:si>
  <x:si>
    <x:t xml:space="preserve">Docker/MySQL</x:t>
  </x:si>
  <x:si>
    <x:t xml:space="preserve">能查看数据库和表</x:t>
  </x:si>
  <x:si>
    <x:t xml:space="preserve">接口工具</x:t>
  </x:si>
  <x:si>
    <x:t xml:space="preserve">安装 Apifox/Postman</x:t>
  </x:si>
  <x:si>
    <x:t xml:space="preserve">建立接口项目和环境变量 gateway_base_url</x:t>
  </x:si>
  <x:si>
    <x:t xml:space="preserve">能发起测试请求</x:t>
  </x:si>
  <x:si>
    <x:t xml:space="preserve">K8S 工具</x:t>
  </x:si>
  <x:si>
    <x:t xml:space="preserve">安装 kubectl/Lens</x:t>
  </x:si>
  <x:si>
    <x:t xml:space="preserve">为后续 K3S 部署准备管理工具</x:t>
  </x:si>
  <x:si>
    <x:t xml:space="preserve">kubectl version 可用</x:t>
  </x:si>
  <x:si>
    <x:t xml:space="preserve">Docker Compose</x:t>
  </x:si>
  <x:si>
    <x:t xml:space="preserve">编写基础组件 compose</x:t>
  </x:si>
  <x:si>
    <x:t xml:space="preserve">创建 MySQL、Redis、Nacos、RocketMQ、Seata 的 docker-compose.yml</x:t>
  </x:si>
  <x:si>
    <x:t xml:space="preserve">Docker</x:t>
  </x:si>
  <x:si>
    <x:t xml:space="preserve">docker compose up 能启动全部组件</x:t>
  </x:si>
  <x:si>
    <x:t xml:space="preserve">MySQL</x:t>
  </x:si>
  <x:si>
    <x:t xml:space="preserve">启动 MySQL 8</x:t>
  </x:si>
  <x:si>
    <x:t xml:space="preserve">设置 root 密码、端口、数据卷；确认远程连接</x:t>
  </x:si>
  <x:si>
    <x:t xml:space="preserve">DBeaver 能连接 MySQL</x:t>
  </x:si>
  <x:si>
    <x:t xml:space="preserve">Redis</x:t>
  </x:si>
  <x:si>
    <x:t xml:space="preserve">启动 Redis 7</x:t>
  </x:si>
  <x:si>
    <x:t xml:space="preserve">配置端口和密码；确认可连接</x:t>
  </x:si>
  <x:si>
    <x:t xml:space="preserve">redis-cli ping 返回 PONG</x:t>
  </x:si>
  <x:si>
    <x:t xml:space="preserve">Nacos</x:t>
  </x:si>
  <x:si>
    <x:t xml:space="preserve">启动 Nacos</x:t>
  </x:si>
  <x:si>
    <x:t xml:space="preserve">使用单机模式启动；打开控制台</x:t>
  </x:si>
  <x:si>
    <x:t xml:space="preserve">Nacos 控制台可访问</x:t>
  </x:si>
  <x:si>
    <x:t xml:space="preserve">RocketMQ</x:t>
  </x:si>
  <x:si>
    <x:t xml:space="preserve">启动 NameServer/Broker/Dashboard</x:t>
  </x:si>
  <x:si>
    <x:t xml:space="preserve">确认 Broker 注册到 NameServer；Dashboard 可查看</x:t>
  </x:si>
  <x:si>
    <x:t xml:space="preserve">Dashboard 显示 broker</x:t>
  </x:si>
  <x:si>
    <x:t xml:space="preserve">Seata</x:t>
  </x:si>
  <x:si>
    <x:t xml:space="preserve">启动 Seata Server</x:t>
  </x:si>
  <x:si>
    <x:t xml:space="preserve">配置注册中心/事务存储；确认服务启动</x:t>
  </x:si>
  <x:si>
    <x:t xml:space="preserve">MySQL/Nacos</x:t>
  </x:si>
  <x:si>
    <x:t xml:space="preserve">Seata 无启动错误</x:t>
  </x:si>
  <x:si>
    <x:t xml:space="preserve">数据库</x:t>
  </x:si>
  <x:si>
    <x:t xml:space="preserve">创建四个业务库</x:t>
  </x:si>
  <x:si>
    <x:t xml:space="preserve">创建 user_db、menu_db、order_db、pickup_db，统一 utf8mb4</x:t>
  </x:si>
  <x:si>
    <x:t xml:space="preserve">四个数据库存在</x:t>
  </x:si>
  <x:si>
    <x:t xml:space="preserve">SQL 脚本</x:t>
  </x:si>
  <x:si>
    <x:t xml:space="preserve">编写 user_db.sql</x:t>
  </x:si>
  <x:si>
    <x:t xml:space="preserve">创建 user、login_log、refresh_token 等表</x:t>
  </x:si>
  <x:si>
    <x:t xml:space="preserve">数据库设计</x:t>
  </x:si>
  <x:si>
    <x:t xml:space="preserve">SQL 可重复执行或明确初始化顺序</x:t>
  </x:si>
  <x:si>
    <x:t xml:space="preserve">编写 menu_db.sql</x:t>
  </x:si>
  <x:si>
    <x:t xml:space="preserve">表结构与详细设计一致</x:t>
  </x:si>
  <x:si>
    <x:t xml:space="preserve">编写 order_db.sql</x:t>
  </x:si>
  <x:si>
    <x:t xml:space="preserve">创建 food_order/order_item/order_status_log/config 等表；避免 order 关键字问题</x:t>
  </x:si>
  <x:si>
    <x:t xml:space="preserve">订单表可正常增删查改</x:t>
  </x:si>
  <x:si>
    <x:t xml:space="preserve">编写 pickup_db.sql</x:t>
  </x:si>
  <x:si>
    <x:t xml:space="preserve">创建取餐号、二维码、制作中/待取餐队列、叫号、核销等表</x:t>
  </x:si>
  <x:si>
    <x:t xml:space="preserve">队列表和二维码表存在唯一索引</x:t>
  </x:si>
  <x:si>
    <x:t xml:space="preserve">添加 undo_log</x:t>
  </x:si>
  <x:si>
    <x:t xml:space="preserve">为 order_db 和 menu_db 添加 undo_log 表</x:t>
  </x:si>
  <x:si>
    <x:t xml:space="preserve">Seata AT</x:t>
  </x:si>
  <x:si>
    <x:t xml:space="preserve">Seata 事务库具备 undo_log</x:t>
  </x:si>
  <x:si>
    <x:t xml:space="preserve">初始化数据</x:t>
  </x:si>
  <x:si>
    <x:t xml:space="preserve">插入测试账号和基础业务数据</x:t>
  </x:si>
  <x:si>
    <x:t xml:space="preserve">四个业务库</x:t>
  </x:si>
  <x:si>
    <x:t xml:space="preserve">可用于完整演示流程</x:t>
  </x:si>
  <x:si>
    <x:t xml:space="preserve">Maven</x:t>
  </x:si>
  <x:si>
    <x:t xml:space="preserve">创建父工程 smart-canteen</x:t>
  </x:si>
  <x:si>
    <x:t xml:space="preserve">统一管理 Spring Boot、Spring Cloud、SCA、MyBatis-Plus、Knife4j 等版本</x:t>
  </x:si>
  <x:si>
    <x:t xml:space="preserve">JDK/Maven</x:t>
  </x:si>
  <x:si>
    <x:t xml:space="preserve">父工程 mvn clean package 通过</x:t>
  </x:si>
  <x:si>
    <x:t xml:space="preserve">package通过，健康接口检查通过，成功注册到nacos</x:t>
  </x:si>
  <x:si>
    <x:t xml:space="preserve">模块</x:t>
  </x:si>
  <x:si>
    <x:t xml:space="preserve">创建 common 模块</x:t>
  </x:si>
  <x:si>
    <x:t xml:space="preserve">创建公共 DTO、异常、枚举、工具类基础目录</x:t>
  </x:si>
  <x:si>
    <x:t xml:space="preserve">父工程</x:t>
  </x:si>
  <x:si>
    <x:t xml:space="preserve">common 模块可被其他服务引用</x:t>
  </x:si>
  <x:si>
    <x:t xml:space="preserve">创建 user-service</x:t>
  </x:si>
  <x:si>
    <x:t xml:space="preserve">配置端口 9001、Nacos、MySQL、Redis、Knife4j</x:t>
  </x:si>
  <x:si>
    <x:t xml:space="preserve">父工程/Nacos/MySQL</x:t>
  </x:si>
  <x:si>
    <x:t xml:space="preserve">服务启动并注册到 Nacos</x:t>
  </x:si>
  <x:si>
    <x:t xml:space="preserve">创建 menu-service</x:t>
  </x:si>
  <x:si>
    <x:t xml:space="preserve">配置端口 9002、Nacos、MySQL、Redis、MyBatis-Plus</x:t>
  </x:si>
  <x:si>
    <x:t xml:space="preserve">创建 order-service</x:t>
  </x:si>
  <x:si>
    <x:t xml:space="preserve">配置端口 9003、Nacos、MySQL、Redis、Feign、RocketMQ、Seata 依赖</x:t>
  </x:si>
  <x:si>
    <x:t xml:space="preserve">创建 pickup-service</x:t>
  </x:si>
  <x:si>
    <x:t xml:space="preserve">配置端口 9004、Nacos、MySQL、Redis、WebSocket</x:t>
  </x:si>
  <x:si>
    <x:t xml:space="preserve">创建 gateway-service</x:t>
  </x:si>
  <x:si>
    <x:t xml:space="preserve">配置端口 9000、Gateway、Nacos、Redis</x:t>
  </x:si>
  <x:si>
    <x:t xml:space="preserve">父工程/Nacos/Redis</x:t>
  </x:si>
  <x:si>
    <x:t xml:space="preserve">文档</x:t>
  </x:si>
  <x:si>
    <x:t xml:space="preserve">整理本地启动脚本</x:t>
  </x:si>
  <x:si>
    <x:t xml:space="preserve">编写 start-local.md 或 README：基础组件和服务启动顺序</x:t>
  </x:si>
  <x:si>
    <x:t xml:space="preserve">所有服务骨架</x:t>
  </x:si>
  <x:si>
    <x:t xml:space="preserve">新环境可照文档启动</x:t>
  </x:si>
  <x:si>
    <x:t xml:space="preserve">未开始</x:t>
  </x:si>
  <x:si>
    <x:t xml:space="preserve">统一响应</x:t>
  </x:si>
  <x:si>
    <x:t xml:space="preserve">实现 Result&lt;T&gt; 和 PageResult&lt;T&gt;</x:t>
  </x:si>
  <x:si>
    <x:t xml:space="preserve">封装 code/message/data、分页 records/total/size/current</x:t>
  </x:si>
  <x:si>
    <x:t xml:space="preserve">common 模块</x:t>
  </x:si>
  <x:si>
    <x:t xml:space="preserve">各服务能直接使用统一响应</x:t>
  </x:si>
  <x:si>
    <x:t xml:space="preserve">错误体系</x:t>
  </x:si>
  <x:si>
    <x:t xml:space="preserve">实现错误码枚举</x:t>
  </x:si>
  <x:si>
    <x:t xml:space="preserve">定义 UNAUTHORIZED、FORBIDDEN、INVALID_STOCK、ORDER_EXPIRED 等错误码</x:t>
  </x:si>
  <x:si>
    <x:t xml:space="preserve">详细设计错误码</x:t>
  </x:si>
  <x:si>
    <x:t xml:space="preserve">错误码命名统一</x:t>
  </x:si>
  <x:si>
    <x:t xml:space="preserve">异常处理</x:t>
  </x:si>
  <x:si>
    <x:t xml:space="preserve">实现通用异常类</x:t>
  </x:si>
  <x:si>
    <x:t xml:space="preserve">BusinessException、UnauthorizedException、ForbiddenException、DuplicateSubmissionException</x:t>
  </x:si>
  <x:si>
    <x:t xml:space="preserve">错误码</x:t>
  </x:si>
  <x:si>
    <x:t xml:space="preserve">服务能抛业务异常</x:t>
  </x:si>
  <x:si>
    <x:t xml:space="preserve">枚举</x:t>
  </x:si>
  <x:si>
    <x:t xml:space="preserve">实现业务枚举</x:t>
  </x:si>
  <x:si>
    <x:t xml:space="preserve">RoleEnum、OrderStatus、MealPeriod、CallType、VerifyType、InventoryChangeType、ResetRule</x:t>
  </x:si>
  <x:si>
    <x:t xml:space="preserve">详细设计</x:t>
  </x:si>
  <x:si>
    <x:t xml:space="preserve">枚举值与数据库一致</x:t>
  </x:si>
  <x:si>
    <x:t xml:space="preserve">JWT</x:t>
  </x:si>
  <x:si>
    <x:t xml:space="preserve">实现 JwtUtil</x:t>
  </x:si>
  <x:si>
    <x:t xml:space="preserve">支持生成/解析 access_token、refresh_token、jti、userId、role、username</x:t>
  </x:si>
  <x:si>
    <x:t xml:space="preserve">jjwt 依赖</x:t>
  </x:si>
  <x:si>
    <x:t xml:space="preserve">单元测试通过</x:t>
  </x:si>
  <x:si>
    <x:t xml:space="preserve">上下文</x:t>
  </x:si>
  <x:si>
    <x:t xml:space="preserve">实现 UserContextHolder</x:t>
  </x:si>
  <x:si>
    <x:t xml:space="preserve">从 Header 读取 X-User-Id、X-User-Role、X-Username</x:t>
  </x:si>
  <x:si>
    <x:t xml:space="preserve">网关约定</x:t>
  </x:si>
  <x:si>
    <x:t xml:space="preserve">业务服务可获取当前用户</x:t>
  </x:si>
  <x:si>
    <x:t xml:space="preserve">工具</x:t>
  </x:si>
  <x:si>
    <x:t xml:space="preserve">实现 ID 和时间工具</x:t>
  </x:si>
  <x:si>
    <x:t xml:space="preserve">雪花 ID 或替代 ID 生成、时间格式化、金额处理工具</x:t>
  </x:si>
  <x:si>
    <x:t xml:space="preserve">各服务复用</x:t>
  </x:si>
  <x:si>
    <x:t xml:space="preserve">全局异常</x:t>
  </x:si>
  <x:si>
    <x:t xml:space="preserve">提供异常处理基类或示例</x:t>
  </x:si>
  <x:si>
    <x:t xml:space="preserve">各服务可复制/引用 ControllerAdvice 逻辑</x:t>
  </x:si>
  <x:si>
    <x:t xml:space="preserve">异常类</x:t>
  </x:si>
  <x:si>
    <x:t xml:space="preserve">异常返回结构统一</x:t>
  </x:si>
  <x:si>
    <x:t xml:space="preserve">实体映射</x:t>
  </x:si>
  <x:si>
    <x:t xml:space="preserve">创建 User/LoginLog/RefreshToken 实体与 Mapper</x:t>
  </x:si>
  <x:si>
    <x:t xml:space="preserve">完成 MyBatis-Plus 注解、字段映射、基础 CRUD</x:t>
  </x:si>
  <x:si>
    <x:t xml:space="preserve">user_db 表</x:t>
  </x:si>
  <x:si>
    <x:t xml:space="preserve">Mapper 单测或启动检查通过</x:t>
  </x:si>
  <x:si>
    <x:t xml:space="preserve">验证码</x:t>
  </x:si>
  <x:si>
    <x:t xml:space="preserve">实现发送验证码接口</x:t>
  </x:si>
  <x:si>
    <x:t xml:space="preserve">POST /api/user/send-code；固定验证码 123456；Redis TTL 5 分钟；60 秒频控</x:t>
  </x:si>
  <x:si>
    <x:t xml:space="preserve">验证码写入 Redis</x:t>
  </x:si>
  <x:si>
    <x:t xml:space="preserve">注册</x:t>
  </x:si>
  <x:si>
    <x:t xml:space="preserve">实现注册接口</x:t>
  </x:si>
  <x:si>
    <x:t xml:space="preserve">校验唯一性、验证码、密码强度；BCrypt 保存登录密码；保存支付密码模拟值</x:t>
  </x:si>
  <x:si>
    <x:t xml:space="preserve">验证码/数据库</x:t>
  </x:si>
  <x:si>
    <x:t xml:space="preserve">新用户可注册</x:t>
  </x:si>
  <x:si>
    <x:t xml:space="preserve">登录</x:t>
  </x:si>
  <x:si>
    <x:t xml:space="preserve">实现密码登录</x:t>
  </x:si>
  <x:si>
    <x:t xml:space="preserve">校验账号、密码、状态；签发 access_token 和 refresh_token；写 login_log</x:t>
  </x:si>
  <x:si>
    <x:t xml:space="preserve">JwtUtil/User 表</x:t>
  </x:si>
  <x:si>
    <x:t xml:space="preserve">登录返回 token 和 userInfo</x:t>
  </x:si>
  <x:si>
    <x:t xml:space="preserve">实现验证码登录</x:t>
  </x:si>
  <x:si>
    <x:t xml:space="preserve">校验 Redis 验证码；成功后签发双 Token</x:t>
  </x:si>
  <x:si>
    <x:t xml:space="preserve">验证码接口</x:t>
  </x:si>
  <x:si>
    <x:t xml:space="preserve">验证码登录成功</x:t>
  </x:si>
  <x:si>
    <x:t xml:space="preserve">Token</x:t>
  </x:si>
  <x:si>
    <x:t xml:space="preserve">实现 Token 刷新</x:t>
  </x:si>
  <x:si>
    <x:t xml:space="preserve">校验 refresh_token；旧 token 入黑名单；旧 refresh_token 失效；签发新 Token</x:t>
  </x:si>
  <x:si>
    <x:t xml:space="preserve">登录功能</x:t>
  </x:si>
  <x:si>
    <x:t xml:space="preserve">刷新接口可用</x:t>
  </x:si>
  <x:si>
    <x:t xml:space="preserve">实现登出</x:t>
  </x:si>
  <x:si>
    <x:t xml:space="preserve">当前 access_token jti 加入黑名单，refresh_token 失效</x:t>
  </x:si>
  <x:si>
    <x:t xml:space="preserve">登出后原 token 不可用</x:t>
  </x:si>
  <x:si>
    <x:t xml:space="preserve">用户资料</x:t>
  </x:si>
  <x:si>
    <x:t xml:space="preserve">实现个人信息查询/修改</x:t>
  </x:si>
  <x:si>
    <x:t xml:space="preserve">GET/PUT /api/user/profile；支持昵称、头像、手机号等字段</x:t>
  </x:si>
  <x:si>
    <x:t xml:space="preserve">JWT 上下文</x:t>
  </x:si>
  <x:si>
    <x:t xml:space="preserve">用户只能改自己资料</x:t>
  </x:si>
  <x:si>
    <x:t xml:space="preserve">支付密码</x:t>
  </x:si>
  <x:si>
    <x:t xml:space="preserve">实现支付密码验证 Feign 接口</x:t>
  </x:si>
  <x:si>
    <x:t xml:space="preserve">POST /api/user/verify-pay-password；错误 5 次锁 30 分钟</x:t>
  </x:si>
  <x:si>
    <x:t xml:space="preserve">Redis/User 表</x:t>
  </x:si>
  <x:si>
    <x:t xml:space="preserve">order-service 可调用</x:t>
  </x:si>
  <x:si>
    <x:t xml:space="preserve">管理端</x:t>
  </x:si>
  <x:si>
    <x:t xml:space="preserve">实现用户管理接口</x:t>
  </x:si>
  <x:si>
    <x:t xml:space="preserve">管理员用户列表、详情、启禁用、重置密码</x:t>
  </x:si>
  <x:si>
    <x:t xml:space="preserve">ADMIN 权限</x:t>
  </x:si>
  <x:si>
    <x:t xml:space="preserve">管理端可维护用户</x:t>
  </x:si>
  <x:si>
    <x:t xml:space="preserve">接口文档</x:t>
  </x:si>
  <x:si>
    <x:t xml:space="preserve">接入 Knife4j 注解</x:t>
  </x:si>
  <x:si>
    <x:t xml:space="preserve">为主要接口添加说明、参数、响应示例</x:t>
  </x:si>
  <x:si>
    <x:t xml:space="preserve">接口完成</x:t>
  </x:si>
  <x:si>
    <x:t xml:space="preserve">接口文档可查看</x:t>
  </x:si>
  <x:si>
    <x:t xml:space="preserve">测试</x:t>
  </x:si>
  <x:si>
    <x:t xml:space="preserve">完成 user-service 测试</x:t>
  </x:si>
  <x:si>
    <x:t xml:space="preserve">注册、登录、刷新、黑名单、支付密码锁定测试</x:t>
  </x:si>
  <x:si>
    <x:t xml:space="preserve">功能完成</x:t>
  </x:si>
  <x:si>
    <x:t xml:space="preserve">测试通过</x:t>
  </x:si>
  <x:si>
    <x:t xml:space="preserve">完成表映射、索引字段、逻辑删除字段</x:t>
  </x:si>
  <x:si>
    <x:t xml:space="preserve">menu_db 表</x:t>
  </x:si>
  <x:si>
    <x:t xml:space="preserve">Mapper 可正常访问</x:t>
  </x:si>
  <x:si>
    <x:t xml:space="preserve">GET/POST /api/menu/categories；商家只能管理自己的分类</x:t>
  </x:si>
  <x:si>
    <x:t xml:space="preserve">商家账号</x:t>
  </x:si>
  <x:si>
    <x:t xml:space="preserve">分类新增和查询成功</x:t>
  </x:si>
  <x:si>
    <x:t xml:space="preserve">菜品</x:t>
  </x:si>
  <x:si>
    <x:t xml:space="preserve">实现菜品 CRUD</x:t>
  </x:si>
  <x:si>
    <x:t xml:space="preserve">菜品列表、详情、新增、修改、删除/停用；支持商家归属校验</x:t>
  </x:si>
  <x:si>
    <x:t xml:space="preserve">分类功能</x:t>
  </x:si>
  <x:si>
    <x:t xml:space="preserve">菜品可维护</x:t>
  </x:si>
  <x:si>
    <x:t xml:space="preserve">图片</x:t>
  </x:si>
  <x:si>
    <x:t xml:space="preserve">实现菜品图片上传/获取</x:t>
  </x:si>
  <x:si>
    <x:t xml:space="preserve">multipart 上传图片入 MySQL BLOB；GET 返回图片流</x:t>
  </x:si>
  <x:si>
    <x:t xml:space="preserve">菜品功能</x:t>
  </x:si>
  <x:si>
    <x:t xml:space="preserve">图片可显示</x:t>
  </x:si>
  <x:si>
    <x:t xml:space="preserve">每日菜单</x:t>
  </x:si>
  <x:si>
    <x:t xml:space="preserve">实现每日菜单发布</x:t>
  </x:si>
  <x:si>
    <x:t xml:space="preserve">菜单发布成功</x:t>
  </x:si>
  <x:si>
    <x:t xml:space="preserve">实现菜单项维护</x:t>
  </x:si>
  <x:si>
    <x:t xml:space="preserve">菜单项可修改</x:t>
  </x:si>
  <x:si>
    <x:t xml:space="preserve">用户浏览</x:t>
  </x:si>
  <x:si>
    <x:t xml:space="preserve">实现可售菜单接口</x:t>
  </x:si>
  <x:si>
    <x:t xml:space="preserve">用户可看到当前可售菜品</x:t>
  </x:si>
  <x:si>
    <x:t xml:space="preserve">库存</x:t>
  </x:si>
  <x:si>
    <x:t xml:space="preserve">实现库存预占接口</x:t>
  </x:si>
  <x:si>
    <x:t xml:space="preserve">POST /api/menu/inventory/reserve；原子扣 remaining、加 reserved</x:t>
  </x:si>
  <x:si>
    <x:t xml:space="preserve">可售菜单</x:t>
  </x:si>
  <x:si>
    <x:t xml:space="preserve">库存不足时失败</x:t>
  </x:si>
  <x:si>
    <x:t xml:space="preserve">实现库存恢复接口</x:t>
  </x:si>
  <x:si>
    <x:t xml:space="preserve">POST /api/menu/inventory/release；幂等恢复库存</x:t>
  </x:si>
  <x:si>
    <x:t xml:space="preserve">订单取消场景</x:t>
  </x:si>
  <x:si>
    <x:t xml:space="preserve">重复调用不重复恢复</x:t>
  </x:si>
  <x:si>
    <x:t xml:space="preserve">实现库存消费接口</x:t>
  </x:si>
  <x:si>
    <x:t xml:space="preserve">POST /api/menu/inventory/consume；核销后 reserved 减少</x:t>
  </x:si>
  <x:si>
    <x:t xml:space="preserve">核销完成场景</x:t>
  </x:si>
  <x:si>
    <x:t xml:space="preserve">重复调用不重复消费</x:t>
  </x:si>
  <x:si>
    <x:t xml:space="preserve">库存预警</x:t>
  </x:si>
  <x:si>
    <x:t xml:space="preserve">实现库存预警查询</x:t>
  </x:si>
  <x:si>
    <x:t xml:space="preserve">查询 remaining_stock &lt;= alert_threshold 的菜品</x:t>
  </x:si>
  <x:si>
    <x:t xml:space="preserve">库存数据</x:t>
  </x:si>
  <x:si>
    <x:t xml:space="preserve">商家能看到低库存</x:t>
  </x:si>
  <x:si>
    <x:t xml:space="preserve">user-service Feign 可选</x:t>
  </x:si>
  <x:si>
    <x:t xml:space="preserve">配置</x:t>
  </x:si>
  <x:si>
    <x:t xml:space="preserve">实现菜单/库存配置接口</x:t>
  </x:si>
  <x:si>
    <x:t xml:space="preserve">读取和修改 stock_alert_scan_interval 等配置</x:t>
  </x:si>
  <x:si>
    <x:t xml:space="preserve">config 表/Redis</x:t>
  </x:si>
  <x:si>
    <x:t xml:space="preserve">配置修改即时生效</x:t>
  </x:si>
  <x:si>
    <x:t xml:space="preserve">完成 menu-service 测试</x:t>
  </x:si>
  <x:si>
    <x:t xml:space="preserve">菜单发布、可售查询、库存预占/恢复/消费幂等测试</x:t>
  </x:si>
  <x:si>
    <x:t xml:space="preserve">创建取餐号/二维码/队列/叫号/核销实体与 Mapper</x:t>
  </x:si>
  <x:si>
    <x:t xml:space="preserve">完成 pickup_db 表映射</x:t>
  </x:si>
  <x:si>
    <x:t xml:space="preserve">pickup_db 表</x:t>
  </x:si>
  <x:si>
    <x:t xml:space="preserve">Mapper 正常</x:t>
  </x:si>
  <x:si>
    <x:t xml:space="preserve">取餐号</x:t>
  </x:si>
  <x:si>
    <x:t xml:space="preserve">实现取餐号生成算法</x:t>
  </x:si>
  <x:si>
    <x:t xml:space="preserve">A001 到 Z999；支持 NONE/DAILY/WEEKLY 重置；Redis 锁防并发</x:t>
  </x:si>
  <x:si>
    <x:t xml:space="preserve">pickup_number_sequence</x:t>
  </x:si>
  <x:si>
    <x:t xml:space="preserve">并发下不重复</x:t>
  </x:si>
  <x:si>
    <x:t xml:space="preserve">制作中队列</x:t>
  </x:si>
  <x:si>
    <x:t xml:space="preserve">实现入制作中内部接口</x:t>
  </x:si>
  <x:si>
    <x:t xml:space="preserve">POST /api/pickup/internal/enqueue-preparing；生成取餐号并入队</x:t>
  </x:si>
  <x:si>
    <x:t xml:space="preserve">取餐号算法</x:t>
  </x:si>
  <x:si>
    <x:t xml:space="preserve">接单后队列新增</x:t>
  </x:si>
  <x:si>
    <x:t xml:space="preserve">待取餐队列</x:t>
  </x:si>
  <x:si>
    <x:t xml:space="preserve">实现入待取餐内部接口</x:t>
  </x:si>
  <x:si>
    <x:t xml:space="preserve">生成二维码、从制作中移除、加入待取餐、自动叫号</x:t>
  </x:si>
  <x:si>
    <x:t xml:space="preserve">出餐后队列移动成功</x:t>
  </x:si>
  <x:si>
    <x:t xml:space="preserve">队列移除</x:t>
  </x:si>
  <x:si>
    <x:t xml:space="preserve">实现移除队列内部接口</x:t>
  </x:si>
  <x:si>
    <x:t xml:space="preserve">订单取消时从制作中或待取餐队列删除</x:t>
  </x:si>
  <x:si>
    <x:t xml:space="preserve">队列表</x:t>
  </x:si>
  <x:si>
    <x:t xml:space="preserve">取消后大屏不再显示</x:t>
  </x:si>
  <x:si>
    <x:t xml:space="preserve">队列查询</x:t>
  </x:si>
  <x:si>
    <x:t xml:space="preserve">实现制作中/待取餐查询</x:t>
  </x:si>
  <x:si>
    <x:t xml:space="preserve">Redis/DB</x:t>
  </x:si>
  <x:si>
    <x:t xml:space="preserve">公开接口不暴露 orderId</x:t>
  </x:si>
  <x:si>
    <x:t xml:space="preserve">快照</x:t>
  </x:si>
  <x:si>
    <x:t xml:space="preserve">实现大屏快照接口</x:t>
  </x:si>
  <x:si>
    <x:t xml:space="preserve">队列表/叫号表</x:t>
  </x:si>
  <x:si>
    <x:t xml:space="preserve">断线恢复可用</x:t>
  </x:si>
  <x:si>
    <x:t xml:space="preserve">二维码</x:t>
  </x:si>
  <x:si>
    <x:t xml:space="preserve">实现取餐二维码查询</x:t>
  </x:si>
  <x:si>
    <x:t xml:space="preserve">GET /api/pickup/qrcode/{orderId}；用户查看二维码内容和取餐码</x:t>
  </x:si>
  <x:si>
    <x:t xml:space="preserve">二维码表</x:t>
  </x:si>
  <x:si>
    <x:t xml:space="preserve">READY 订单可查二维码</x:t>
  </x:si>
  <x:si>
    <x:t xml:space="preserve">叫号</x:t>
  </x:si>
  <x:si>
    <x:t xml:space="preserve">实现手动叫号</x:t>
  </x:si>
  <x:si>
    <x:t xml:space="preserve">POST /api/pickup/call；只允许待取餐队列订单</x:t>
  </x:si>
  <x:si>
    <x:t xml:space="preserve">生成 MANUAL call_event</x:t>
  </x:si>
  <x:si>
    <x:t xml:space="preserve">核销</x:t>
  </x:si>
  <x:si>
    <x:t xml:space="preserve">实现取餐核销</x:t>
  </x:si>
  <x:si>
    <x:t xml:space="preserve">二维码/订单内部接口</x:t>
  </x:si>
  <x:si>
    <x:t xml:space="preserve">核销后二维码失效</x:t>
  </x:si>
  <x:si>
    <x:t xml:space="preserve">WebSocket</x:t>
  </x:si>
  <x:si>
    <x:t xml:space="preserve">实现大屏 WebSocket</x:t>
  </x:si>
  <x:si>
    <x:t xml:space="preserve">队列变更逻辑</x:t>
  </x:si>
  <x:si>
    <x:t xml:space="preserve">大屏能实时刷新</x:t>
  </x:si>
  <x:si>
    <x:t xml:space="preserve">恢复</x:t>
  </x:si>
  <x:si>
    <x:t xml:space="preserve">实现 Redis 队列恢复</x:t>
  </x:si>
  <x:si>
    <x:t xml:space="preserve">Redis 缓存未命中时从 MySQL 重建</x:t>
  </x:si>
  <x:si>
    <x:t xml:space="preserve">清空 Redis 后队列仍可查</x:t>
  </x:si>
  <x:si>
    <x:t xml:space="preserve">完成 pickup-service 测试</x:t>
  </x:si>
  <x:si>
    <x:t xml:space="preserve">取餐号、重复入队、出餐、叫号、核销、缓存恢复测试</x:t>
  </x:si>
  <x:si>
    <x:t xml:space="preserve">创建订单/明细/状态日志实体与 Mapper</x:t>
  </x:si>
  <x:si>
    <x:t xml:space="preserve">建议表名 food_order，避免 order 关键字</x:t>
  </x:si>
  <x:si>
    <x:t xml:space="preserve">order_db 表</x:t>
  </x:si>
  <x:si>
    <x:t xml:space="preserve">Feign</x:t>
  </x:si>
  <x:si>
    <x:t xml:space="preserve">定义 Feign 客户端</x:t>
  </x:si>
  <x:si>
    <x:t xml:space="preserve">UserFeignClient、MenuFeignClient、PickupFeignClient 及 fallback</x:t>
  </x:si>
  <x:si>
    <x:t xml:space="preserve">其他服务启动</x:t>
  </x:si>
  <x:si>
    <x:t xml:space="preserve">服务间调用可用</x:t>
  </x:si>
  <x:si>
    <x:t xml:space="preserve">查询</x:t>
  </x:si>
  <x:si>
    <x:t xml:space="preserve">实现订单基础查询</x:t>
  </x:si>
  <x:si>
    <x:t xml:space="preserve">我的订单、订单详情、订单状态、商家订单列表</x:t>
  </x:si>
  <x:si>
    <x:t xml:space="preserve">订单表</x:t>
  </x:si>
  <x:si>
    <x:t xml:space="preserve">查询结果正确</x:t>
  </x:si>
  <x:si>
    <x:t xml:space="preserve">下单</x:t>
  </x:si>
  <x:si>
    <x:t xml:space="preserve">实现创建订单接口</x:t>
  </x:si>
  <x:si>
    <x:t xml:space="preserve">校验幂等 Key、菜品状态、库存，创建订单和明细</x:t>
  </x:si>
  <x:si>
    <x:t xml:space="preserve">menu-service 可用</x:t>
  </x:si>
  <x:si>
    <x:t xml:space="preserve">订单进入 PENDING_PAY</x:t>
  </x:si>
  <x:si>
    <x:t xml:space="preserve">接入创建订单全局事务</x:t>
  </x:si>
  <x:si>
    <x:t xml:space="preserve">createOrder 加 @GlobalTransactional；库存预占失败回滚订单</x:t>
  </x:si>
  <x:si>
    <x:t xml:space="preserve">Seata/menu-service</x:t>
  </x:si>
  <x:si>
    <x:t xml:space="preserve">异常时订单和库存一致</x:t>
  </x:si>
  <x:si>
    <x:t xml:space="preserve">支付</x:t>
  </x:si>
  <x:si>
    <x:t xml:space="preserve">实现支付订单接口</x:t>
  </x:si>
  <x:si>
    <x:t xml:space="preserve">校验归属、状态、超时；调用 user-service 验证支付密码；状态改 PAID</x:t>
  </x:si>
  <x:si>
    <x:t xml:space="preserve">user-service</x:t>
  </x:si>
  <x:si>
    <x:t xml:space="preserve">支付成功后进入待接单</x:t>
  </x:si>
  <x:si>
    <x:t xml:space="preserve">取消</x:t>
  </x:si>
  <x:si>
    <x:t xml:space="preserve">实现用户取消订单</x:t>
  </x:si>
  <x:si>
    <x:t xml:space="preserve">PENDING_PAY/PAID 可取消，PREPARING 1 分钟内可取消；释放库存并移除队列</x:t>
  </x:si>
  <x:si>
    <x:t xml:space="preserve">menu/pickup Feign</x:t>
  </x:si>
  <x:si>
    <x:t xml:space="preserve">取消后库存恢复</x:t>
  </x:si>
  <x:si>
    <x:t xml:space="preserve">商家接单</x:t>
  </x:si>
  <x:si>
    <x:t xml:space="preserve">实现接单接口</x:t>
  </x:si>
  <x:si>
    <x:t xml:space="preserve">pickup-service</x:t>
  </x:si>
  <x:si>
    <x:t xml:space="preserve">接单后有 pickupNo</x:t>
  </x:si>
  <x:si>
    <x:t xml:space="preserve">商家拒单</x:t>
  </x:si>
  <x:si>
    <x:t xml:space="preserve">实现拒绝接单接口</x:t>
  </x:si>
  <x:si>
    <x:t xml:space="preserve">PAID 状态可拒单；订单取消；释放库存</x:t>
  </x:si>
  <x:si>
    <x:t xml:space="preserve">menu-service</x:t>
  </x:si>
  <x:si>
    <x:t xml:space="preserve">拒单后库存恢复</x:t>
  </x:si>
  <x:si>
    <x:t xml:space="preserve">商家出餐</x:t>
  </x:si>
  <x:si>
    <x:t xml:space="preserve">实现出餐接口</x:t>
  </x:si>
  <x:si>
    <x:t xml:space="preserve">PREPARING 状态改 READY；调用 pickup 生成二维码和自动叫号</x:t>
  </x:si>
  <x:si>
    <x:t xml:space="preserve">大屏进入待取餐队列</x:t>
  </x:si>
  <x:si>
    <x:t xml:space="preserve">核销同步</x:t>
  </x:si>
  <x:si>
    <x:t xml:space="preserve">实现内部状态更新接口</x:t>
  </x:si>
  <x:si>
    <x:t xml:space="preserve">pickup-service 调用更新 COMPLETED；调用 menu-service consume 库存</x:t>
  </x:si>
  <x:si>
    <x:t xml:space="preserve">pickup-service/menu-service</x:t>
  </x:si>
  <x:si>
    <x:t xml:space="preserve">核销后订单完成</x:t>
  </x:si>
  <x:si>
    <x:t xml:space="preserve">实现订单配置接口</x:t>
  </x:si>
  <x:si>
    <x:t xml:space="preserve">pay_timeout_minutes、accept_timeout_minutes、cancel_window_minutes 读取/修改/缓存</x:t>
  </x:si>
  <x:si>
    <x:t xml:space="preserve">配置即时生效</x:t>
  </x:si>
  <x:si>
    <x:t xml:space="preserve">异常补偿</x:t>
  </x:si>
  <x:si>
    <x:t xml:space="preserve">实现补偿任务</x:t>
  </x:si>
  <x:si>
    <x:t xml:space="preserve">库存释放失败、消费失败、核销同步失败等重试或记录异常</x:t>
  </x:si>
  <x:si>
    <x:t xml:space="preserve">核心流程</x:t>
  </x:si>
  <x:si>
    <x:t xml:space="preserve">异常可追踪</x:t>
  </x:si>
  <x:si>
    <x:t xml:space="preserve">完成 order-service 测试</x:t>
  </x:si>
  <x:si>
    <x:t xml:space="preserve">下单、支付、取消、接单、出餐、核销、非法状态测试</x:t>
  </x:si>
  <x:si>
    <x:t xml:space="preserve">路由</x:t>
  </x:si>
  <x:si>
    <x:t xml:space="preserve">配置基础路由</x:t>
  </x:si>
  <x:si>
    <x:t xml:space="preserve">/api/user、/api/menu、/api/order、/api/pickup、/api/admin、/ws 路由到对应服务</x:t>
  </x:si>
  <x:si>
    <x:t xml:space="preserve">Nacos/业务服务</x:t>
  </x:si>
  <x:si>
    <x:t xml:space="preserve">请求可经网关转发</x:t>
  </x:si>
  <x:si>
    <x:t xml:space="preserve">白名单</x:t>
  </x:si>
  <x:si>
    <x:t xml:space="preserve">配置公开接口</x:t>
  </x:si>
  <x:si>
    <x:t xml:space="preserve">注册、登录、刷新、可售菜单、公开队列、大屏 ws 免登录</x:t>
  </x:si>
  <x:si>
    <x:t xml:space="preserve">路由配置</x:t>
  </x:si>
  <x:si>
    <x:t xml:space="preserve">公开接口无需 JWT</x:t>
  </x:si>
  <x:si>
    <x:t xml:space="preserve">JWT 鉴权</x:t>
  </x:si>
  <x:si>
    <x:t xml:space="preserve">实现 AuthGlobalFilter</x:t>
  </x:si>
  <x:si>
    <x:t xml:space="preserve">校验 Bearer token、签名、过期、Redis 黑名单；注入用户 Header</x:t>
  </x:si>
  <x:si>
    <x:t xml:space="preserve">user-service Token</x:t>
  </x:si>
  <x:si>
    <x:t xml:space="preserve">未登录返回 401</x:t>
  </x:si>
  <x:si>
    <x:t xml:space="preserve">角色控制</x:t>
  </x:si>
  <x:si>
    <x:t xml:space="preserve">实现 RoleRouteFilter</x:t>
  </x:si>
  <x:si>
    <x:t xml:space="preserve">ADMIN/MERCHANT/USER 路径角色拦截</x:t>
  </x:si>
  <x:si>
    <x:t xml:space="preserve">越权返回 403</x:t>
  </x:si>
  <x:si>
    <x:t xml:space="preserve">限流</x:t>
  </x:si>
  <x:si>
    <x:t xml:space="preserve">实现 Redis + Lua 限流</x:t>
  </x:si>
  <x:si>
    <x:t xml:space="preserve">IP 100 req/s，用户 50 req/s，敏感接口 5 req/min</x:t>
  </x:si>
  <x:si>
    <x:t xml:space="preserve">超限返回 429</x:t>
  </x:si>
  <x:si>
    <x:t xml:space="preserve">跨域</x:t>
  </x:si>
  <x:si>
    <x:t xml:space="preserve">配置 CORS</x:t>
  </x:si>
  <x:si>
    <x:t xml:space="preserve">允许前端域名、Authorization Header、WebSocket</x:t>
  </x:si>
  <x:si>
    <x:t xml:space="preserve">前端开发</x:t>
  </x:si>
  <x:si>
    <x:t xml:space="preserve">浏览器请求不被跨域拦截</x:t>
  </x:si>
  <x:si>
    <x:t xml:space="preserve">WebSocket代理</x:t>
  </x:si>
  <x:si>
    <x:t xml:space="preserve">配置 /ws/** 转发</x:t>
  </x:si>
  <x:si>
    <x:t xml:space="preserve">Gateway 转发大屏 WebSocket 到 pickup-service</x:t>
  </x:si>
  <x:si>
    <x:t xml:space="preserve">pickup WebSocket</x:t>
  </x:si>
  <x:si>
    <x:t xml:space="preserve">大屏连接成功</x:t>
  </x:si>
  <x:si>
    <x:t xml:space="preserve">完成网关测试</x:t>
  </x:si>
  <x:si>
    <x:t xml:space="preserve">鉴权、白名单、角色、限流、路由测试</x:t>
  </x:si>
  <x:si>
    <x:t xml:space="preserve">编写 MQ demo</x:t>
  </x:si>
  <x:si>
    <x:t xml:space="preserve">order-service 临时接口发送消息，消费者打印日志</x:t>
  </x:si>
  <x:si>
    <x:t xml:space="preserve">RocketMQ 启动</x:t>
  </x:si>
  <x:si>
    <x:t xml:space="preserve">生产和消费正常</x:t>
  </x:si>
  <x:si>
    <x:t xml:space="preserve">创建订单发送支付超时消息</x:t>
  </x:si>
  <x:si>
    <x:t xml:space="preserve">订单创建成功后发送 pay_timeout 延迟消息</x:t>
  </x:si>
  <x:si>
    <x:t xml:space="preserve">createOrder</x:t>
  </x:si>
  <x:si>
    <x:t xml:space="preserve">消息体包含 orderId/orderNo/type</x:t>
  </x:si>
  <x:si>
    <x:t xml:space="preserve">支付成功发送接单超时消息</x:t>
  </x:si>
  <x:si>
    <x:t xml:space="preserve">支付成功后发送 accept_timeout 延迟消息</x:t>
  </x:si>
  <x:si>
    <x:t xml:space="preserve">支付功能</x:t>
  </x:si>
  <x:si>
    <x:t xml:space="preserve">未接单超时可触发</x:t>
  </x:si>
  <x:si>
    <x:t xml:space="preserve">实现超时消费者</x:t>
  </x:si>
  <x:si>
    <x:t xml:space="preserve">消费时二次检查状态和配置时间，符合条件再取消</x:t>
  </x:si>
  <x:si>
    <x:t xml:space="preserve">取消逻辑</x:t>
  </x:si>
  <x:si>
    <x:t xml:space="preserve">已处理订单会被忽略</x:t>
  </x:si>
  <x:si>
    <x:t xml:space="preserve">定时任务</x:t>
  </x:si>
  <x:si>
    <x:t xml:space="preserve">实现超时扫描兜底</x:t>
  </x:si>
  <x:si>
    <x:t xml:space="preserve">每分钟扫描 PENDING_PAY/PAID 超时订单；使用 Redis 锁防多实例重复</x:t>
  </x:si>
  <x:si>
    <x:t xml:space="preserve">订单配置</x:t>
  </x:si>
  <x:si>
    <x:t xml:space="preserve">MQ 异常时仍可自动取消</x:t>
  </x:si>
  <x:si>
    <x:t xml:space="preserve">验证正常提交</x:t>
  </x:si>
  <x:si>
    <x:t xml:space="preserve">创建订单 + 库存预占成功后两库数据一致</x:t>
  </x:si>
  <x:si>
    <x:t xml:space="preserve">Seata 接入</x:t>
  </x:si>
  <x:si>
    <x:t xml:space="preserve">订单和库存均提交</x:t>
  </x:si>
  <x:si>
    <x:t xml:space="preserve">验证异常回滚</x:t>
  </x:si>
  <x:si>
    <x:t xml:space="preserve">库存不足或人为异常时 order_db/menu_db 回滚一致</x:t>
  </x:si>
  <x:si>
    <x:t xml:space="preserve">无脏订单和错误库存</x:t>
  </x:si>
  <x:si>
    <x:t xml:space="preserve">验证大屏实时推送</x:t>
  </x:si>
  <x:si>
    <x:t xml:space="preserve">接单、出餐、叫号、核销触发对应推送</x:t>
  </x:si>
  <x:si>
    <x:t xml:space="preserve">pickup WebSocket/Gateway</x:t>
  </x:si>
  <x:si>
    <x:t xml:space="preserve">大屏实时刷新</x:t>
  </x:si>
  <x:si>
    <x:t xml:space="preserve">验证缓存与恢复</x:t>
  </x:si>
  <x:si>
    <x:t xml:space="preserve">清空队列缓存后通过接口重建 Redis</x:t>
  </x:si>
  <x:si>
    <x:t xml:space="preserve">pickup 队列</x:t>
  </x:si>
  <x:si>
    <x:t xml:space="preserve">数据以 MySQL 为准</x:t>
  </x:si>
  <x:si>
    <x:t xml:space="preserve">公共能力</x:t>
  </x:si>
  <x:si>
    <x:t xml:space="preserve">创建四个 Vue 3 工程</x:t>
  </x:si>
  <x:si>
    <x:t xml:space="preserve">user-web、merchant-web、admin-web、screen-web；统一 Vite 配置</x:t>
  </x:si>
  <x:si>
    <x:t xml:space="preserve">Node/pnpm</x:t>
  </x:si>
  <x:si>
    <x:t xml:space="preserve">四端 dev server 可启动</x:t>
  </x:si>
  <x:si>
    <x:t xml:space="preserve">封装 Axios</x:t>
  </x:si>
  <x:si>
    <x:t xml:space="preserve">统一 baseURL、Authorization、错误提示、Token 刷新</x:t>
  </x:si>
  <x:si>
    <x:t xml:space="preserve">gateway 可用</x:t>
  </x:si>
  <x:si>
    <x:t xml:space="preserve">接口请求统一</x:t>
  </x:si>
  <x:si>
    <x:t xml:space="preserve">实现路由守卫</x:t>
  </x:si>
  <x:si>
    <x:t xml:space="preserve">根据 token 和 role 控制页面访问</x:t>
  </x:si>
  <x:si>
    <x:t xml:space="preserve">登录接口</x:t>
  </x:si>
  <x:si>
    <x:t xml:space="preserve">未登录跳转登录页</x:t>
  </x:si>
  <x:si>
    <x:t xml:space="preserve">实现状态枚举映射</x:t>
  </x:si>
  <x:si>
    <x:t xml:space="preserve">订单状态、角色、时段、叫号类型等中文展示</x:t>
  </x:si>
  <x:si>
    <x:t xml:space="preserve">common 枚举</x:t>
  </x:si>
  <x:si>
    <x:t xml:space="preserve">页面显示一致</x:t>
  </x:si>
  <x:si>
    <x:t xml:space="preserve">用户端</x:t>
  </x:si>
  <x:si>
    <x:t xml:space="preserve">实现登录/注册页</x:t>
  </x:si>
  <x:si>
    <x:t xml:space="preserve">密码登录、验证码登录、注册、Token 保存</x:t>
  </x:si>
  <x:si>
    <x:t xml:space="preserve">用户可登录注册</x:t>
  </x:si>
  <x:si>
    <x:t xml:space="preserve">实现菜单浏览页</x:t>
  </x:si>
  <x:si>
    <x:t xml:space="preserve">游客可浏览；登录用户可加入购物车</x:t>
  </x:si>
  <x:si>
    <x:t xml:space="preserve">显示当前可售菜品</x:t>
  </x:si>
  <x:si>
    <x:t xml:space="preserve">实现购物车和订单确认页</x:t>
  </x:si>
  <x:si>
    <x:t xml:space="preserve">LocalStorage 购物车；提交订单携带幂等 Key</x:t>
  </x:si>
  <x:si>
    <x:t xml:space="preserve">order-service</x:t>
  </x:si>
  <x:si>
    <x:t xml:space="preserve">订单创建成功</x:t>
  </x:si>
  <x:si>
    <x:t xml:space="preserve">实现支付页</x:t>
  </x:si>
  <x:si>
    <x:t xml:space="preserve">输入模拟支付密码；支付失败提示；成功跳订单详情</x:t>
  </x:si>
  <x:si>
    <x:t xml:space="preserve">order-service/user-service</x:t>
  </x:si>
  <x:si>
    <x:t xml:space="preserve">订单进入 PAID</x:t>
  </x:si>
  <x:si>
    <x:t xml:space="preserve">实现我的订单和详情页</x:t>
  </x:si>
  <x:si>
    <x:t xml:space="preserve">订单列表、状态轮询、取消按钮、状态时间线</x:t>
  </x:si>
  <x:si>
    <x:t xml:space="preserve">订单状态实时刷新</x:t>
  </x:si>
  <x:si>
    <x:t xml:space="preserve">实现取餐二维码页</x:t>
  </x:si>
  <x:si>
    <x:t xml:space="preserve">READY 状态展示二维码内容和取餐码</x:t>
  </x:si>
  <x:si>
    <x:t xml:space="preserve">可用于商家核销</x:t>
  </x:si>
  <x:si>
    <x:t xml:space="preserve">商家端</x:t>
  </x:si>
  <x:si>
    <x:t xml:space="preserve">实现商家登录和首页</x:t>
  </x:si>
  <x:si>
    <x:t xml:space="preserve">登录后进入商家工作台</x:t>
  </x:si>
  <x:si>
    <x:t xml:space="preserve">user-service/gateway</x:t>
  </x:si>
  <x:si>
    <x:t xml:space="preserve">商家角色可访问</x:t>
  </x:si>
  <x:si>
    <x:t xml:space="preserve">实现菜品和菜单管理</x:t>
  </x:si>
  <x:si>
    <x:t xml:space="preserve">分类、菜品、图片、每日菜单、库存维护</x:t>
  </x:si>
  <x:si>
    <x:t xml:space="preserve">商家能发布菜单</x:t>
  </x:si>
  <x:si>
    <x:t xml:space="preserve">实现订单处理页</x:t>
  </x:si>
  <x:si>
    <x:t xml:space="preserve">待接单/制作中/待取餐三栏；接单、拒单、出餐</x:t>
  </x:si>
  <x:si>
    <x:t xml:space="preserve">商家可推进订单</x:t>
  </x:si>
  <x:si>
    <x:t xml:space="preserve">实现叫号核销页</x:t>
  </x:si>
  <x:si>
    <x:t xml:space="preserve">手动叫号、扫码核销、手动输入取餐码核销</x:t>
  </x:si>
  <x:si>
    <x:t xml:space="preserve">核销成功</x:t>
  </x:si>
  <x:si>
    <x:t xml:space="preserve">管理员端</x:t>
  </x:si>
  <x:si>
    <x:t xml:space="preserve">实现用户管理</x:t>
  </x:si>
  <x:si>
    <x:t xml:space="preserve">用户列表、启禁用、重置密码</x:t>
  </x:si>
  <x:si>
    <x:t xml:space="preserve">管理员可维护用户</x:t>
  </x:si>
  <x:si>
    <x:t xml:space="preserve">基础数据可维护</x:t>
  </x:si>
  <x:si>
    <x:t xml:space="preserve">实现业务配置页</x:t>
  </x:si>
  <x:si>
    <x:t xml:space="preserve">支付超时、接单超时、取消窗口、取餐号重置规则</x:t>
  </x:si>
  <x:si>
    <x:t xml:space="preserve">各服务 config 接口</x:t>
  </x:si>
  <x:si>
    <x:t xml:space="preserve">配置修改成功</x:t>
  </x:si>
  <x:si>
    <x:t xml:space="preserve">大屏端</x:t>
  </x:si>
  <x:si>
    <x:t xml:space="preserve">实现大屏页面</x:t>
  </x:si>
  <x:si>
    <x:t xml:space="preserve">pickup snapshot</x:t>
  </x:si>
  <x:si>
    <x:t xml:space="preserve">大屏初始数据正常</x:t>
  </x:si>
  <x:si>
    <x:t xml:space="preserve">实现 WebSocket 重连</x:t>
  </x:si>
  <x:si>
    <x:t xml:space="preserve">断线 2s 后重连；成功后拉取 snapshot</x:t>
  </x:si>
  <x:si>
    <x:t xml:space="preserve">Gateway /ws</x:t>
  </x:si>
  <x:si>
    <x:t xml:space="preserve">断线恢复正常</x:t>
  </x:si>
  <x:si>
    <x:t xml:space="preserve">联调</x:t>
  </x:si>
  <x:si>
    <x:t xml:space="preserve">前后端完整联调</x:t>
  </x:si>
  <x:si>
    <x:t xml:space="preserve">四端串联完成主流程</x:t>
  </x:si>
  <x:si>
    <x:t xml:space="preserve">后端全量可用</x:t>
  </x:si>
  <x:si>
    <x:t xml:space="preserve">浏览器完成完整点餐取餐</x:t>
  </x:si>
  <x:si>
    <x:t xml:space="preserve">单元测试</x:t>
  </x:si>
  <x:si>
    <x:t xml:space="preserve">完成用户服务测试</x:t>
  </x:si>
  <x:si>
    <x:t xml:space="preserve">注册、登录、刷新、支付密码锁定</x:t>
  </x:si>
  <x:si>
    <x:t xml:space="preserve">完成菜单服务测试</x:t>
  </x:si>
  <x:si>
    <x:t xml:space="preserve">菜单发布、可售查询、库存预占/恢复/消费</x:t>
  </x:si>
  <x:si>
    <x:t xml:space="preserve">完成订单服务测试</x:t>
  </x:si>
  <x:si>
    <x:t xml:space="preserve">下单、支付、取消、接单、出餐、核销同步、非法状态</x:t>
  </x:si>
  <x:si>
    <x:t xml:space="preserve">完成取餐服务测试</x:t>
  </x:si>
  <x:si>
    <x:t xml:space="preserve">取餐号、队列、二维码、叫号、核销、缓存恢复</x:t>
  </x:si>
  <x:si>
    <x:t xml:space="preserve">接口测试</x:t>
  </x:si>
  <x:si>
    <x:t xml:space="preserve">建立 Apifox 接口集</x:t>
  </x:si>
  <x:si>
    <x:t xml:space="preserve">按服务分组、配置环境变量、保存 token</x:t>
  </x:si>
  <x:si>
    <x:t xml:space="preserve">后端接口</x:t>
  </x:si>
  <x:si>
    <x:t xml:space="preserve">接口可一键回归</x:t>
  </x:si>
  <x:si>
    <x:t xml:space="preserve">流程测试</x:t>
  </x:si>
  <x:si>
    <x:t xml:space="preserve">测试正常下单取餐流程</x:t>
  </x:si>
  <x:si>
    <x:t xml:space="preserve">下单→支付→接单→出餐→叫号→核销→完成</x:t>
  </x:si>
  <x:si>
    <x:t xml:space="preserve">前后端联调</x:t>
  </x:si>
  <x:si>
    <x:t xml:space="preserve">流程成功</x:t>
  </x:si>
  <x:si>
    <x:t xml:space="preserve">测试待支付取消</x:t>
  </x:si>
  <x:si>
    <x:t xml:space="preserve">下单后手动取消，库存恢复</x:t>
  </x:si>
  <x:si>
    <x:t xml:space="preserve">订单/库存</x:t>
  </x:si>
  <x:si>
    <x:t xml:space="preserve">库存恢复正确</x:t>
  </x:si>
  <x:si>
    <x:t xml:space="preserve">测试支付超时自动取消</x:t>
  </x:si>
  <x:si>
    <x:t xml:space="preserve">下单不支付，MQ/定时任务取消并释放库存</x:t>
  </x:si>
  <x:si>
    <x:t xml:space="preserve">RocketMQ/定时任务</x:t>
  </x:si>
  <x:si>
    <x:t xml:space="preserve">超时取消成功</x:t>
  </x:si>
  <x:si>
    <x:t xml:space="preserve">测试商家拒单</x:t>
  </x:si>
  <x:si>
    <x:t xml:space="preserve">支付后商家拒绝，订单取消并释放库存</x:t>
  </x:si>
  <x:si>
    <x:t xml:space="preserve">测试接单后限时取消</x:t>
  </x:si>
  <x:si>
    <x:t xml:space="preserve">接单后 1 分钟内用户取消，订单取消并移出制作中队列</x:t>
  </x:si>
  <x:si>
    <x:t xml:space="preserve">订单/队列</x:t>
  </x:si>
  <x:si>
    <x:t xml:space="preserve">队列和库存正确</x:t>
  </x:si>
  <x:si>
    <x:t xml:space="preserve">安全测试</x:t>
  </x:si>
  <x:si>
    <x:t xml:space="preserve">测试鉴权和越权</x:t>
  </x:si>
  <x:si>
    <x:t xml:space="preserve">未登录、角色不符、跨商家操作、Token 黑名单</x:t>
  </x:si>
  <x:si>
    <x:t xml:space="preserve">gateway</x:t>
  </x:si>
  <x:si>
    <x:t xml:space="preserve">返回 401/403 正确</x:t>
  </x:si>
  <x:si>
    <x:t xml:space="preserve">异常测试</x:t>
  </x:si>
  <x:si>
    <x:t xml:space="preserve">测试重复提交与重复核销</x:t>
  </x:si>
  <x:si>
    <x:t xml:space="preserve">订单幂等、重复出餐、重复核销、重复库存恢复</x:t>
  </x:si>
  <x:si>
    <x:t xml:space="preserve">核心接口</x:t>
  </x:si>
  <x:si>
    <x:t xml:space="preserve">重复调用无副作用</x:t>
  </x:si>
  <x:si>
    <x:t xml:space="preserve">性能粗测</x:t>
  </x:si>
  <x:si>
    <x:t xml:space="preserve">测试并发下单</x:t>
  </x:si>
  <x:si>
    <x:t xml:space="preserve">至少模拟多个用户同时下单同一菜品</x:t>
  </x:si>
  <x:si>
    <x:t xml:space="preserve">库存预占</x:t>
  </x:si>
  <x:si>
    <x:t xml:space="preserve">不会超卖</x:t>
  </x:si>
  <x:si>
    <x:t xml:space="preserve">Bug 修复</x:t>
  </x:si>
  <x:si>
    <x:t xml:space="preserve">整理并修复缺陷</x:t>
  </x:si>
  <x:si>
    <x:t xml:space="preserve">按严重程度修复 P0/P1/P2 问题</x:t>
  </x:si>
  <x:si>
    <x:t xml:space="preserve">测试结果</x:t>
  </x:si>
  <x:si>
    <x:t xml:space="preserve">核心流程无阻塞 bug</x:t>
  </x:si>
  <x:si>
    <x:t xml:space="preserve">编写各服务 Dockerfile</x:t>
  </x:si>
  <x:si>
    <x:t xml:space="preserve">为 gateway/user/menu/order/pickup 编写 Dockerfile</x:t>
  </x:si>
  <x:si>
    <x:t xml:space="preserve">后端构建通过</x:t>
  </x:si>
  <x:si>
    <x:t xml:space="preserve">镜像可构建</x:t>
  </x:si>
  <x:si>
    <x:t xml:space="preserve">本地容器化运行后端</x:t>
  </x:si>
  <x:si>
    <x:t xml:space="preserve">用 docker compose 或本地网络跑业务服务</x:t>
  </x:si>
  <x:si>
    <x:t xml:space="preserve">Dockerfile</x:t>
  </x:si>
  <x:si>
    <x:t xml:space="preserve">容器启动并注册 Nacos</x:t>
  </x:si>
  <x:si>
    <x:t xml:space="preserve">镜像</x:t>
  </x:si>
  <x:si>
    <x:t xml:space="preserve">推送镜像到仓库</x:t>
  </x:si>
  <x:si>
    <x:t xml:space="preserve">标记版本并推送到 Docker Hub/私有仓库</x:t>
  </x:si>
  <x:si>
    <x:t xml:space="preserve">镜像构建</x:t>
  </x:si>
  <x:si>
    <x:t xml:space="preserve">K3S 可拉取镜像</x:t>
  </x:si>
  <x:si>
    <x:t xml:space="preserve">K3S</x:t>
  </x:si>
  <x:si>
    <x:t xml:space="preserve">安装/准备 K3S 集群</x:t>
  </x:si>
  <x:si>
    <x:t xml:space="preserve">确认 kubectl 可连接集群</x:t>
  </x:si>
  <x:si>
    <x:t xml:space="preserve">服务器</x:t>
  </x:si>
  <x:si>
    <x:t xml:space="preserve">kubectl get nodes 正常</x:t>
  </x:si>
  <x:si>
    <x:t xml:space="preserve">编写 namespace/configmap/secret</x:t>
  </x:si>
  <x:si>
    <x:t xml:space="preserve">集中维护外置 MySQL 连接信息，以及 Redis、Nacos、MQ、Seata 地址；不要编写 MySQL 的 K3S Deployment/StatefulSet</x:t>
  </x:si>
  <x:si>
    <x:t xml:space="preserve">K3S 集群/外置 MySQL</x:t>
  </x:si>
  <x:si>
    <x:t xml:space="preserve">配置资源创建成功</x:t>
  </x:si>
  <x:si>
    <x:t xml:space="preserve">部署 K3S 内基础组件</x:t>
  </x:si>
  <x:si>
    <x:t xml:space="preserve">仅将 Nacos、Redis、RocketMQ、Seata 部署到 K3S；MySQL 按文档部署在 K3S 集群外部，业务服务通过连接串访问</x:t>
  </x:si>
  <x:si>
    <x:t xml:space="preserve">K3S 配置</x:t>
  </x:si>
  <x:si>
    <x:t xml:space="preserve">K3S 内组件 Pod 正常，外置 MySQL 可连通</x:t>
  </x:si>
  <x:si>
    <x:t xml:space="preserve">部署业务服务</x:t>
  </x:si>
  <x:si>
    <x:t xml:space="preserve">按 user→menu→pickup→order→gateway 顺序部署</x:t>
  </x:si>
  <x:si>
    <x:t xml:space="preserve">镜像/基础组件</x:t>
  </x:si>
  <x:si>
    <x:t xml:space="preserve">所有 Pod Running</x:t>
  </x:si>
  <x:si>
    <x:t xml:space="preserve">配置健康检查</x:t>
  </x:si>
  <x:si>
    <x:t xml:space="preserve">readinessProbe/livenessProbe；失败自动重启</x:t>
  </x:si>
  <x:si>
    <x:t xml:space="preserve">业务服务</x:t>
  </x:si>
  <x:si>
    <x:t xml:space="preserve">健康检查通过</x:t>
  </x:si>
  <x:si>
    <x:t xml:space="preserve">前端部署</x:t>
  </x:si>
  <x:si>
    <x:t xml:space="preserve">构建四端前端</x:t>
  </x:si>
  <x:si>
    <x:t xml:space="preserve">pnpm build 生成 dist</x:t>
  </x:si>
  <x:si>
    <x:t xml:space="preserve">前端联调通过</x:t>
  </x:si>
  <x:si>
    <x:t xml:space="preserve">dist 产物生成</x:t>
  </x:si>
  <x:si>
    <x:t xml:space="preserve">Nginx/宝塔</x:t>
  </x:si>
  <x:si>
    <x:t xml:space="preserve">部署前端静态资源</x:t>
  </x:si>
  <x:si>
    <x:t xml:space="preserve">/user、/merchant、/admin、/screen 四个路径</x:t>
  </x:si>
  <x:si>
    <x:t xml:space="preserve">前端 dist</x:t>
  </x:si>
  <x:si>
    <x:t xml:space="preserve">浏览器可访问四端</x:t>
  </x:si>
  <x:si>
    <x:t xml:space="preserve">配置 API 和 WS 反向代理</x:t>
  </x:si>
  <x:si>
    <x:t xml:space="preserve">/api 代理到 gateway；/ws 支持 WebSocket Upgrade</x:t>
  </x:si>
  <x:si>
    <x:t xml:space="preserve">gateway 可访问</x:t>
  </x:si>
  <x:si>
    <x:t xml:space="preserve">前端接口和大屏 WS 正常</x:t>
  </x:si>
  <x:si>
    <x:t xml:space="preserve">部署验证</x:t>
  </x:si>
  <x:si>
    <x:t xml:space="preserve">线上完整流程测试</x:t>
  </x:si>
  <x:si>
    <x:t xml:space="preserve">在部署环境跑通下单、支付、接单、出餐、核销</x:t>
  </x:si>
  <x:si>
    <x:t xml:space="preserve">所有组件</x:t>
  </x:si>
  <x:si>
    <x:t xml:space="preserve">线上演示可用</x:t>
  </x:si>
  <x:si>
    <x:t xml:space="preserve">演示数据</x:t>
  </x:si>
  <x:si>
    <x:t xml:space="preserve">准备稳定演示数据</x:t>
  </x:si>
  <x:si>
    <x:t xml:space="preserve">部署环境</x:t>
  </x:si>
  <x:si>
    <x:t xml:space="preserve">演示环境可重复使用</x:t>
  </x:si>
  <x:si>
    <x:t xml:space="preserve">演示脚本</x:t>
  </x:si>
  <x:si>
    <x:t xml:space="preserve">编写演示流程脚本</x:t>
  </x:si>
  <x:si>
    <x:t xml:space="preserve">按用户端、商家端、大屏端、管理端顺序演示</x:t>
  </x:si>
  <x:si>
    <x:t xml:space="preserve">完整流程</x:t>
  </x:si>
  <x:si>
    <x:t xml:space="preserve">演示不会遗漏关键点</x:t>
  </x:si>
  <x:si>
    <x:t xml:space="preserve">截图材料</x:t>
  </x:si>
  <x:si>
    <x:t xml:space="preserve">整理系统截图</x:t>
  </x:si>
  <x:si>
    <x:t xml:space="preserve">Nacos 注册、K3S Pod、前端页面、订单流程、大屏叫号、数据库表</x:t>
  </x:si>
  <x:si>
    <x:t xml:space="preserve">答辩材料完整</x:t>
  </x:si>
  <x:si>
    <x:t xml:space="preserve">补充部署说明书</x:t>
  </x:si>
  <x:si>
    <x:t xml:space="preserve">记录环境变量、启动顺序、K3S YAML、Nginx 配置、常见问题</x:t>
  </x:si>
  <x:si>
    <x:t xml:space="preserve">部署完成</x:t>
  </x:si>
  <x:si>
    <x:t xml:space="preserve">别人可按文档部署</x:t>
  </x:si>
  <x:si>
    <x:t xml:space="preserve">补充测试报告</x:t>
  </x:si>
  <x:si>
    <x:t xml:space="preserve">记录测试用例、结果、缺陷和修复情况</x:t>
  </x:si>
  <x:si>
    <x:t xml:space="preserve">测试完成</x:t>
  </x:si>
  <x:si>
    <x:t xml:space="preserve">测试报告完整</x:t>
  </x:si>
  <x:si>
    <x:t xml:space="preserve">最终检查</x:t>
  </x:si>
  <x:si>
    <x:t xml:space="preserve">执行验收检查表</x:t>
  </x:si>
  <x:si>
    <x:t xml:space="preserve">逐项检查服务、权限、流程、MQ、Seata、WebSocket、部署</x:t>
  </x:si>
  <x:si>
    <x:t xml:space="preserve">所有功能完成</x:t>
  </x:si>
  <x:si>
    <x:t xml:space="preserve">全部核心项通过</x:t>
  </x:si>
  <x:si>
    <x:t xml:space="preserve">备份</x:t>
  </x:si>
  <x:si>
    <x:t xml:space="preserve">备份数据库和代码版本</x:t>
  </x:si>
  <x:si>
    <x:t xml:space="preserve">导出 SQL、标记 Git tag、保存部署配置</x:t>
  </x:si>
  <x:si>
    <x:t xml:space="preserve">验收前</x:t>
  </x:si>
  <x:si>
    <x:t xml:space="preserve">可快速恢复演示环境</x:t>
  </x:si>
  <x:si>
    <x:t xml:space="preserve">序号</x:t>
  </x:si>
  <x:si>
    <x:t xml:space="preserve">检查分类</x:t>
  </x:si>
  <x:si>
    <x:t xml:space="preserve">检查项</x:t>
  </x:si>
  <x:si>
    <x:t xml:space="preserve">操作步骤</x:t>
  </x:si>
  <x:si>
    <x:t xml:space="preserve">预期结果</x:t>
  </x:si>
  <x:si>
    <x:t xml:space="preserve">核心业务流</x:t>
  </x:si>
  <x:si>
    <x:t xml:space="preserve">正常点餐取餐</x:t>
  </x:si>
  <x:si>
    <x:t xml:space="preserve">用户下单→支付→商家接单→出餐→自动叫号→用户展示二维码→商家核销</x:t>
  </x:si>
  <x:si>
    <x:t xml:space="preserve">订单状态从 PENDING_PAY 到 COMPLETED；库存和队列正确变化</x:t>
  </x:si>
  <x:si>
    <x:t xml:space="preserve">待支付手动取消</x:t>
  </x:si>
  <x:si>
    <x:t xml:space="preserve">用户创建订单后不支付，直接取消</x:t>
  </x:si>
  <x:si>
    <x:t xml:space="preserve">订单 CANCELLED；库存恢复；无队列数据</x:t>
  </x:si>
  <x:si>
    <x:t xml:space="preserve">支付超时自动取消</x:t>
  </x:si>
  <x:si>
    <x:t xml:space="preserve">创建订单后超过支付超时时间不支付</x:t>
  </x:si>
  <x:si>
    <x:t xml:space="preserve">RocketMQ 或定时任务取消订单并恢复库存</x:t>
  </x:si>
  <x:si>
    <x:t xml:space="preserve">接单超时自动取消</x:t>
  </x:si>
  <x:si>
    <x:t xml:space="preserve">用户支付后商家不接单直到超时</x:t>
  </x:si>
  <x:si>
    <x:t xml:space="preserve">订单取消，库存恢复</x:t>
  </x:si>
  <x:si>
    <x:t xml:space="preserve">用户支付后商家点击拒绝接单</x:t>
  </x:si>
  <x:si>
    <x:t xml:space="preserve">接单后限时取消</x:t>
  </x:si>
  <x:si>
    <x:t xml:space="preserve">商家接单后用户在配置窗口内取消</x:t>
  </x:si>
  <x:si>
    <x:t xml:space="preserve">订单取消，从制作中队列移除，库存恢复</x:t>
  </x:si>
  <x:si>
    <x:t xml:space="preserve">队列与叫号</x:t>
  </x:si>
  <x:si>
    <x:t xml:space="preserve">大屏制作中队列</x:t>
  </x:si>
  <x:si>
    <x:t xml:space="preserve">商家接单后观察大屏</x:t>
  </x:si>
  <x:si>
    <x:t xml:space="preserve">制作中队列出现取餐号</x:t>
  </x:si>
  <x:si>
    <x:t xml:space="preserve">大屏待取餐队列</x:t>
  </x:si>
  <x:si>
    <x:t xml:space="preserve">商家出餐后观察大屏</x:t>
  </x:si>
  <x:si>
    <x:t xml:space="preserve">订单从制作中移到待取餐，并出现叫号弹窗</x:t>
  </x:si>
  <x:si>
    <x:t xml:space="preserve">手动叫号</x:t>
  </x:si>
  <x:si>
    <x:t xml:space="preserve">商家对 READY 订单点击手动叫号</x:t>
  </x:si>
  <x:si>
    <x:t xml:space="preserve">生成 MANUAL 叫号事件，大屏提示</x:t>
  </x:si>
  <x:si>
    <x:t xml:space="preserve">取餐核销</x:t>
  </x:si>
  <x:si>
    <x:t xml:space="preserve">扫码核销</x:t>
  </x:si>
  <x:si>
    <x:t xml:space="preserve">用户展示二维码，商家扫码核销</x:t>
  </x:si>
  <x:si>
    <x:t xml:space="preserve">二维码失效，订单 COMPLETED，待取餐队列移除</x:t>
  </x:si>
  <x:si>
    <x:t xml:space="preserve">手动取餐码核销</x:t>
  </x:si>
  <x:si>
    <x:t xml:space="preserve">商家输入取餐码核销</x:t>
  </x:si>
  <x:si>
    <x:t xml:space="preserve">与扫码核销结果一致</x:t>
  </x:si>
  <x:si>
    <x:t xml:space="preserve">异常与幂等</x:t>
  </x:si>
  <x:si>
    <x:t xml:space="preserve">重复提交订单</x:t>
  </x:si>
  <x:si>
    <x:t xml:space="preserve">同一 X-Idempotent-Key 重复提交同一请求</x:t>
  </x:si>
  <x:si>
    <x:t xml:space="preserve">返回同一订单，不重复扣库存</x:t>
  </x:si>
  <x:si>
    <x:t xml:space="preserve">重复核销</x:t>
  </x:si>
  <x:si>
    <x:t xml:space="preserve">同一二维码核销两次</x:t>
  </x:si>
  <x:si>
    <x:t xml:space="preserve">第二次返回取餐码无效或已核销</x:t>
  </x:si>
  <x:si>
    <x:t xml:space="preserve">安全权限</x:t>
  </x:si>
  <x:si>
    <x:t xml:space="preserve">未登录访问受保护接口</x:t>
  </x:si>
  <x:si>
    <x:t xml:space="preserve">不带 token 调用下单/订单详情</x:t>
  </x:si>
  <x:si>
    <x:t xml:space="preserve">返回 401</x:t>
  </x:si>
  <x:si>
    <x:t xml:space="preserve">角色越权</x:t>
  </x:si>
  <x:si>
    <x:t xml:space="preserve">普通用户访问商家接口或商家访问管理员接口</x:t>
  </x:si>
  <x:si>
    <x:t xml:space="preserve">返回 403</x:t>
  </x:si>
  <x:si>
    <x:t xml:space="preserve">部署检查</x:t>
  </x:si>
  <x:si>
    <x:t xml:space="preserve">K3S 服务健康</x:t>
  </x:si>
  <x:si>
    <x:t xml:space="preserve">检查 Pod、Service、Nacos 注册情况</x:t>
  </x:si>
  <x:si>
    <x:t xml:space="preserve">所有服务 Running，Gateway 可访问</x:t>
  </x:si>
  <x:si>
    <x:t xml:space="preserve">前端线上访问</x:t>
  </x:si>
  <x:si>
    <x:t xml:space="preserve">访问 /user /merchant /admin /screen</x:t>
  </x:si>
  <x:si>
    <x:t xml:space="preserve">四端页面可打开，接口和 WebSocket 正常</x:t>
  </x:si>
  <x:si>
    <x:t xml:space="preserve">使用说明</x:t>
  </x:si>
  <x:si>
    <x:t xml:space="preserve">1. “任务清单”是主表，每一行是一个可执行任务。</x:t>
  </x:si>
  <x:si>
    <x:t xml:space="preserve">2. 完成任务后，在“完成”列选择 ☑，并把“状态”改成“已完成”。</x:t>
  </x:si>
  <x:si>
    <x:t xml:space="preserve">3. 如果任务还没开始，保持“完成=☐”“状态=未开始”。</x:t>
  </x:si>
  <x:si>
    <x:t xml:space="preserve">4. 如果正在做，状态改为“进行中”。如果被卡住，状态改为“阻塞”，并在备注写清楚原因。</x:t>
  </x:si>
  <x:si>
    <x:t xml:space="preserve">5. “总览”页会根据任务清单自动统计总任务数、完成数、阻塞数和各阶段完成率。</x:t>
  </x:si>
  <x:si>
    <x:t xml:space="preserve">6. “关键流程检查”用于开发后期验收，建议每次部署前跑一遍。</x:t>
  </x:si>
  <x:si>
    <x:t xml:space="preserve">7. 建议每完成一个小任务就提交 Git，不要等一个阶段全部完成再提交。</x:t>
  </x:si>
  <x:si>
    <x:t xml:space="preserve">状态选项：未开始、进行中、已完成、阻塞、暂缓。</x:t>
  </x:si>
  <x:si>
    <x:t xml:space="preserve">完成选项：☐、☑。</x:t>
  </x:si>
  <x:si>
    <x:t xml:space="preserve">8. 部署阶段注意：MySQL 按架构文档部署在 K3S 集群外部；K3S 内只部署 Nacos、Redis、RocketMQ、Seata 和业务服务。</x:t>
  </x:si>
</x:sst>
</file>

<file path=xl/styles.xml><?xml version="1.0" encoding="utf-8"?>
<x:styleSheet xmlns:x="http://schemas.openxmlformats.org/spreadsheetml/2006/main">
  <x:numFmts count="2">
    <x:numFmt numFmtId="176" formatCode="yyyy\-mm\-dd"/>
    <x:numFmt numFmtId="177" formatCode="0.0%"/>
  </x:numFmts>
  <x:fonts count="7">
    <x:font>
      <x:sz val="11"/>
      <x:name val="Carlito"/>
    </x:font>
    <x:font>
      <x:sz val="11"/>
      <x:name val="Carlito"/>
    </x:font>
    <x:font>
      <x:sz val="9"/>
      <x:name val="194-SSPinSongTi"/>
    </x:font>
    <x:font>
      <x:b/>
      <x:sz val="16"/>
      <x:color rgb="FFFFFFFF"/>
      <x:name val="宋体-简 常规体"/>
    </x:font>
    <x:font>
      <x:sz val="11"/>
      <x:name val="宋体-简 常规体"/>
    </x:font>
    <x:font>
      <x:b/>
      <x:sz val="11"/>
      <x:color rgb="FFFFFFFF"/>
      <x:name val="宋体-简 常规体"/>
    </x:font>
    <x:font>
      <x:b/>
      <x:sz val="11"/>
      <x:name val="宋体-简 常规体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B5394"/>
      </x:patternFill>
    </x:fill>
    <x:fill>
      <x:patternFill patternType="solid">
        <x:fgColor rgb="FFEAF2F8"/>
      </x:patternFill>
    </x:fill>
  </x:fills>
  <x:borders count="1">
    <x:border/>
  </x:borders>
  <x:cellStyleXfs count="2">
    <x:xf numFmtId="0" fontId="0" fillId="0" borderId="0"/>
    <x:xf numFmtId="0" fontId="1" fillId="0" borderId="0"/>
  </x:cellStyleXfs>
  <x:cellXfs count="15">
    <x:xf numFmtId="0" fontId="0" fillId="0" borderId="0" xfId="0"/>
    <x:xf numFmtId="0" fontId="4" fillId="0" borderId="0" xfId="0" applyFont="1"/>
    <x:xf numFmtId="0" fontId="5" fillId="2" borderId="0" xfId="1" applyFont="1" applyFill="1" applyAlignment="1">
      <x:alignment horizontal="center" vertical="center" wrapText="1"/>
    </x:xf>
    <x:xf numFmtId="0" fontId="6" fillId="0" borderId="0" xfId="1" applyFont="1" applyAlignment="1">
      <x:alignment wrapText="1"/>
    </x:xf>
    <x:xf numFmtId="0" fontId="4" fillId="0" borderId="0" xfId="1" applyFont="1" applyAlignment="1">
      <x:alignment wrapText="1"/>
    </x:xf>
    <x:xf numFmtId="177" fontId="4" fillId="0" borderId="0" xfId="1" applyNumberFormat="1" applyFont="1" applyAlignment="1">
      <x:alignment wrapText="1"/>
    </x:xf>
    <x:xf numFmtId="0" fontId="5" fillId="2" borderId="0" xfId="1" applyFont="1" applyFill="1" applyAlignment="1">
      <x:alignment horizontal="center" vertical="top" wrapText="1"/>
    </x:xf>
    <x:xf numFmtId="0" fontId="4" fillId="0" borderId="0" xfId="1" applyFont="1" applyAlignment="1">
      <x:alignment vertical="top" wrapText="1"/>
    </x:xf>
    <x:xf numFmtId="0" fontId="4" fillId="0" borderId="0" xfId="1" applyFont="1" applyAlignment="1">
      <x:alignment horizontal="center" vertical="top" wrapText="1"/>
    </x:xf>
    <x:xf numFmtId="176" fontId="4" fillId="0" borderId="0" xfId="1" applyNumberFormat="1" applyFont="1" applyAlignment="1">
      <x:alignment vertical="top" wrapText="1"/>
    </x:xf>
    <x:xf numFmtId="0" fontId="3" fillId="3" borderId="0" xfId="1" applyFont="1" applyFill="1" applyAlignment="1">
      <x:alignment horizontal="center" wrapText="1"/>
    </x:xf>
    <x:xf numFmtId="0" fontId="3" fillId="3" borderId="0" xfId="1" applyFont="1" applyFill="1" applyAlignment="1">
      <x:alignment horizontal="center" vertical="center"/>
    </x:xf>
    <x:xf numFmtId="0" fontId="4" fillId="0" borderId="0" xfId="0" applyFont="1"/>
    <x:xf numFmtId="0" fontId="5" fillId="2" borderId="0" xfId="1" applyFont="1" applyFill="1" applyAlignment="1">
      <x:alignment horizontal="center" vertical="center" wrapText="1"/>
    </x:xf>
    <x:xf numFmtId="0" fontId="4" fillId="4" borderId="0" xfId="1" applyFont="1" applyFill="1" applyAlignment="1">
      <x:alignment vertical="top" wrapText="1"/>
    </x:xf>
  </x:cellXfs>
  <x:cellStyles count="2">
    <x:cellStyle name="Normal" xfId="1"/>
    <x:cellStyle name="常规" xfId="0"/>
  </x:cellStyles>
  <x:dxfs count="46"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color rgb="FF666666"/>
      </x:font>
      <x:fill>
        <x:patternFill>
          <x:bgColor rgb="FFD9D9D9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name val="宋体-简 常规体"/>
        <x:scheme val="none"/>
      </x:font>
    </x:dxf>
    <x:dxf>
      <x:font>
        <x:u val="none"/>
        <x:name val="宋体-简 常规体"/>
        <x:scheme val="none"/>
      </x:font>
    </x:dxf>
    <x:dxf>
      <x:font>
        <x:u val="none"/>
        <x:name val="宋体-简 常规体"/>
        <x:scheme val="none"/>
      </x:font>
    </x:dxf>
    <x:dxf>
      <x:font>
        <x:u val="none"/>
        <x:name val="宋体-简 常规体"/>
        <x:scheme val="none"/>
      </x:font>
    </x:dxf>
    <x:dxf>
      <x:font>
        <x:u val="none"/>
        <x:name val="宋体-简 常规体"/>
        <x:scheme val="none"/>
      </x:font>
    </x:dxf>
    <x:dxf>
      <x:font>
        <x:u val="none"/>
        <x:name val="宋体-简 常规体"/>
        <x:scheme val="none"/>
      </x:font>
    </x:dxf>
    <x:dxf>
      <x:font>
        <x:u val="none"/>
        <x:name val="宋体-简 常规体"/>
        <x:scheme val="none"/>
      </x:font>
    </x:dxf>
    <x:dxf>
      <x:font>
        <x:u val="none"/>
        <x:name val="宋体-简 常规体"/>
        <x:scheme val="none"/>
      </x:font>
    </x:dxf>
    <x:dxf>
      <x:font>
        <x:u val="none"/>
        <x:name val="宋体-简 常规体"/>
        <x:scheme val="none"/>
      </x:font>
    </x:dxf>
    <x:dxf>
      <x:font>
        <x:u val="none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6e475854184781" /><Relationship Type="http://schemas.openxmlformats.org/officeDocument/2006/relationships/theme" Target="/xl/theme/theme1.xml" Id="R4a26a5a4992848b7" /><Relationship Type="http://schemas.openxmlformats.org/officeDocument/2006/relationships/sheetMetadata" Target="/xl/metadata1.xml" Id="Rca5ca6db8e184f14" /><Relationship Type="http://schemas.openxmlformats.org/officeDocument/2006/relationships/sharedStrings" Target="/xl/sharedStrings.xml" Id="R775fef8d186a48d3" /><Relationship Type="http://schemas.openxmlformats.org/officeDocument/2006/relationships/worksheet" Target="/xl/worksheets/sheet1.xml" Id="R5ecb4ed35d1e4fed" /><Relationship Type="http://schemas.openxmlformats.org/officeDocument/2006/relationships/worksheet" Target="/xl/worksheets/sheet2.xml" Id="R6c47f50876944bdc" /><Relationship Type="http://schemas.openxmlformats.org/officeDocument/2006/relationships/worksheet" Target="/xl/worksheets/sheet3.xml" Id="Rd621344c37a14015" /><Relationship Type="http://schemas.openxmlformats.org/officeDocument/2006/relationships/worksheet" Target="/xl/worksheets/sheet4.xml" Id="R87e2df97cb06424e" /></Relationships>
</file>

<file path=xl/tables/table1.xml><?xml version="1.0" encoding="utf-8"?>
<x:table xmlns:x="http://schemas.openxmlformats.org/spreadsheetml/2006/main" id="2" name="StageSummaryTable" displayName="StageSummaryTable" ref="A12:G27">
  <x:tableColumns count="7">
    <x:tableColumn id="1" name="阶段"/>
    <x:tableColumn id="2" name="总任务"/>
    <x:tableColumn id="3" name="已打勾"/>
    <x:tableColumn id="4" name="完成率"/>
    <x:tableColumn id="5" name="进行中"/>
    <x:tableColumn id="6" name="阻塞"/>
    <x:tableColumn id="7" name="高优先级"/>
  </x:tableColumns>
  <x:tableStyleInfo name="TableStyleMedium2" showRowStripes="1"/>
</x:table>
</file>

<file path=xl/tables/table2.xml><?xml version="1.0" encoding="utf-8"?>
<x:table xmlns:x="http://schemas.openxmlformats.org/spreadsheetml/2006/main" id="1" name="TasksTable" displayName="TasksTable" ref="A1:O165">
  <x:autoFilter ref="A1:O165"/>
  <x:tableColumns count="15">
    <x:tableColumn id="1" name="ID"/>
    <x:tableColumn id="2" name="阶段"/>
    <x:tableColumn id="3" name="分类"/>
    <x:tableColumn id="4" name="子任务"/>
    <x:tableColumn id="5" name="具体要做"/>
    <x:tableColumn id="6" name="前置依赖"/>
    <x:tableColumn id="7" name="验收标准"/>
    <x:tableColumn id="8" name="优先级"/>
    <x:tableColumn id="9" name="预计工时(h)"/>
    <x:tableColumn id="10" name="完成"/>
    <x:tableColumn id="11" name="状态"/>
    <x:tableColumn id="12" name="计划开始"/>
    <x:tableColumn id="13" name="计划结束"/>
    <x:tableColumn id="14" name="实际完成"/>
    <x:tableColumn id="15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FlowChecksTable" displayName="FlowChecksTable" ref="A1:H18">
  <x:tableColumns count="8">
    <x:tableColumn id="1" name="序号"/>
    <x:tableColumn id="2" name="检查分类"/>
    <x:tableColumn id="3" name="检查项"/>
    <x:tableColumn id="4" name="操作步骤"/>
    <x:tableColumn id="5" name="预期结果"/>
    <x:tableColumn id="6" name="完成"/>
    <x:tableColumn id="7" name="状态"/>
    <x:tableColumn id="8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bae95d358d432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cb28752841e4d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cdadccf92774736" /></Relationships>
</file>

<file path=xl/worksheets/sheet1.xml><?xml version="1.0" encoding="utf-8"?>
<x:worksheet xmlns:x="http://schemas.openxmlformats.org/spreadsheetml/2006/main">
  <x:sheetFormatPr baseColWidth="10" defaultColWidth="8.83203125" defaultRowHeight="18"/>
  <x:cols>
    <x:col min="1" max="1" width="22" style="1" customWidth="1"/>
    <x:col min="2" max="7" width="12" style="1" customWidth="1"/>
    <x:col min="8" max="16384" width="8.83203125" style="1" customWidth="0"/>
  </x:cols>
  <x:sheetData>
    <x:row r="1" ht="25.5" customHeight="1">
      <x:c r="A1" s="11" t="s">
        <x:v>0</x:v>
      </x:c>
      <x:c r="B1" s="12"/>
      <x:c r="C1" s="12"/>
      <x:c r="D1" s="12"/>
      <x:c r="E1" s="12"/>
      <x:c r="F1" s="12"/>
      <x:c r="G1" s="12"/>
      <x:c r="H1" s="12"/>
    </x:row>
    <x:row r="3" ht="20" customHeight="1">
      <x:c r="A3" s="2" t="s">
        <x:v>1</x:v>
      </x:c>
      <x:c r="B3" s="2" t="s">
        <x:v>2</x:v>
      </x:c>
      <x:c r="C3" s="2" t="s">
        <x:v>3</x:v>
      </x:c>
      <x:c r="E3" s="13" t="s">
        <x:v>4</x:v>
      </x:c>
      <x:c r="F3" s="12"/>
      <x:c r="G3" s="12"/>
      <x:c r="H3" s="12"/>
    </x:row>
    <x:row r="4" ht="152" customHeight="1">
      <x:c r="A4" s="3" t="s">
        <x:v>5</x:v>
      </x:c>
      <x:c r="B4" s="4" t="e">
        <x:f>COUNTA(任务清单!$A$2:$A$165)</x:f>
      </x:c>
      <x:c r="C4" s="4" t="s">
        <x:v>6</x:v>
      </x:c>
      <x:c r="E4" s="14" t="s">
        <x:v>7</x:v>
      </x:c>
      <x:c r="F4" s="14"/>
      <x:c r="G4" s="14"/>
      <x:c r="H4" s="14"/>
    </x:row>
    <x:row r="5" ht="20" customHeight="1">
      <x:c r="A5" s="3" t="s">
        <x:v>8</x:v>
      </x:c>
      <x:c r="B5" s="4" t="e">
        <x:f>COUNTIF(任务清单!$J$2:$J$165,"☑")</x:f>
      </x:c>
      <x:c r="C5" s="4" t="s">
        <x:v>9</x:v>
      </x:c>
      <x:c r="E5" s="14"/>
      <x:c r="F5" s="14"/>
      <x:c r="G5" s="14"/>
      <x:c r="H5" s="14"/>
    </x:row>
    <x:row r="6" ht="35.25" customHeight="1">
      <x:c r="A6" s="3" t="s">
        <x:v>10</x:v>
      </x:c>
      <x:c r="B6" s="4" t="e">
        <x:f>COUNTIF(任务清单!$K$2:$K$165,"已完成")</x:f>
      </x:c>
      <x:c r="C6" s="4" t="s">
        <x:v>11</x:v>
      </x:c>
      <x:c r="E6" s="14"/>
      <x:c r="F6" s="14"/>
      <x:c r="G6" s="14"/>
      <x:c r="H6" s="14"/>
    </x:row>
    <x:row r="7" ht="35.25" customHeight="1">
      <x:c r="A7" s="3" t="s">
        <x:v>12</x:v>
      </x:c>
      <x:c r="B7" s="4" t="e">
        <x:f>COUNTIF(任务清单!$K$2:$K$165,"进行中")</x:f>
      </x:c>
      <x:c r="C7" s="4" t="s">
        <x:v>13</x:v>
      </x:c>
      <x:c r="E7" s="14"/>
      <x:c r="F7" s="14"/>
      <x:c r="G7" s="14"/>
      <x:c r="H7" s="14"/>
    </x:row>
    <x:row r="8" ht="20" customHeight="1">
      <x:c r="A8" s="3" t="s">
        <x:v>14</x:v>
      </x:c>
      <x:c r="B8" s="4" t="e">
        <x:f>COUNTIF(任务清单!$K$2:$K$165,"阻塞")</x:f>
      </x:c>
      <x:c r="C8" s="4" t="s">
        <x:v>15</x:v>
      </x:c>
      <x:c r="E8" s="14"/>
      <x:c r="F8" s="14"/>
      <x:c r="G8" s="14"/>
      <x:c r="H8" s="14"/>
    </x:row>
    <x:row r="9" ht="35.25" customHeight="1">
      <x:c r="A9" s="3" t="s">
        <x:v>16</x:v>
      </x:c>
      <x:c r="B9" s="5" t="e">
        <x:f>IF(B4=0,0,B5/B4)</x:f>
      </x:c>
      <x:c r="C9" s="4" t="s">
        <x:v>17</x:v>
      </x:c>
      <x:c r="E9" s="14"/>
      <x:c r="F9" s="14"/>
      <x:c r="G9" s="14"/>
      <x:c r="H9" s="14"/>
    </x:row>
    <x:row r="12" ht="20" customHeight="1">
      <x:c r="A12" s="2" t="s">
        <x:v>18</x:v>
      </x:c>
      <x:c r="B12" s="2" t="s">
        <x:v>19</x:v>
      </x:c>
      <x:c r="C12" s="2" t="s">
        <x:v>20</x:v>
      </x:c>
      <x:c r="D12" s="2" t="s">
        <x:v>21</x:v>
      </x:c>
      <x:c r="E12" s="2" t="s">
        <x:v>22</x:v>
      </x:c>
      <x:c r="F12" s="2" t="s">
        <x:v>23</x:v>
      </x:c>
      <x:c r="G12" s="2" t="s">
        <x:v>24</x:v>
      </x:c>
    </x:row>
    <x:row r="13" ht="20" customHeight="1">
      <x:c r="A13" s="4" t="s">
        <x:v>25</x:v>
      </x:c>
      <x:c r="B13" s="4" t="e">
        <x:f>COUNTIF(任务清单!$B$2:$B$165,A13)</x:f>
      </x:c>
      <x:c r="C13" s="4" t="e">
        <x:f>COUNTIFS(任务清单!$B$2:$B$165,A13,任务清单!$J$2:$J$165,"☑")</x:f>
      </x:c>
      <x:c r="D13" s="5" t="e">
        <x:f t="shared" ref="D13:D27" si="0">IF(B13=0,0,C13/B13)</x:f>
      </x:c>
      <x:c r="E13" s="4" t="e">
        <x:f>COUNTIFS(任务清单!$B$2:$B$165,A13,任务清单!$K$2:$K$165,"进行中")</x:f>
      </x:c>
      <x:c r="F13" s="4" t="e">
        <x:f>COUNTIFS(任务清单!$B$2:$B$165,A13,任务清单!$K$2:$K$165,"阻塞")</x:f>
      </x:c>
      <x:c r="G13" s="4" t="e">
        <x:f>COUNTIFS(任务清单!$B$2:$B$165,A13,任务清单!$H$2:$H$165,"高")</x:f>
      </x:c>
    </x:row>
    <x:row r="14" ht="20" customHeight="1">
      <x:c r="A14" s="4" t="s">
        <x:v>26</x:v>
      </x:c>
      <x:c r="B14" s="4" t="e">
        <x:f>COUNTIF(任务清单!$B$2:$B$165,A14)</x:f>
      </x:c>
      <x:c r="C14" s="4" t="e">
        <x:f>COUNTIFS(任务清单!$B$2:$B$165,A14,任务清单!$J$2:$J$165,"☑")</x:f>
      </x:c>
      <x:c r="D14" s="5">
        <x:f t="shared" si="0"/>
        <x:v>1</x:v>
      </x:c>
      <x:c r="E14" s="4" t="e">
        <x:f>COUNTIFS(任务清单!$B$2:$B$165,A14,任务清单!$K$2:$K$165,"进行中")</x:f>
      </x:c>
      <x:c r="F14" s="4" t="e">
        <x:f>COUNTIFS(任务清单!$B$2:$B$165,A14,任务清单!$K$2:$K$165,"阻塞")</x:f>
      </x:c>
      <x:c r="G14" s="4" t="e">
        <x:f>COUNTIFS(任务清单!$B$2:$B$165,A14,任务清单!$H$2:$H$165,"高")</x:f>
      </x:c>
    </x:row>
    <x:row r="15" ht="20" customHeight="1">
      <x:c r="A15" s="4" t="s">
        <x:v>27</x:v>
      </x:c>
      <x:c r="B15" s="4" t="e">
        <x:f>COUNTIF(任务清单!$B$2:$B$165,A15)</x:f>
      </x:c>
      <x:c r="C15" s="4" t="e">
        <x:f>COUNTIFS(任务清单!$B$2:$B$165,A15,任务清单!$J$2:$J$165,"☑")</x:f>
      </x:c>
      <x:c r="D15" s="5">
        <x:f t="shared" si="0"/>
        <x:v>1</x:v>
      </x:c>
      <x:c r="E15" s="4" t="e">
        <x:f>COUNTIFS(任务清单!$B$2:$B$165,A15,任务清单!$K$2:$K$165,"进行中")</x:f>
      </x:c>
      <x:c r="F15" s="4" t="e">
        <x:f>COUNTIFS(任务清单!$B$2:$B$165,A15,任务清单!$K$2:$K$165,"阻塞")</x:f>
      </x:c>
      <x:c r="G15" s="4" t="e">
        <x:f>COUNTIFS(任务清单!$B$2:$B$165,A15,任务清单!$H$2:$H$165,"高")</x:f>
      </x:c>
    </x:row>
    <x:row r="16" ht="20" customHeight="1">
      <x:c r="A16" s="4" t="s">
        <x:v>28</x:v>
      </x:c>
      <x:c r="B16" s="4" t="e">
        <x:f>COUNTIF(任务清单!$B$2:$B$165,A16)</x:f>
      </x:c>
      <x:c r="C16" s="4" t="e">
        <x:f>COUNTIFS(任务清单!$B$2:$B$165,A16,任务清单!$J$2:$J$165,"☑")</x:f>
      </x:c>
      <x:c r="D16" s="5">
        <x:f t="shared" si="0"/>
        <x:v>0.875</x:v>
      </x:c>
      <x:c r="E16" s="4" t="e">
        <x:f>COUNTIFS(任务清单!$B$2:$B$165,A16,任务清单!$K$2:$K$165,"进行中")</x:f>
      </x:c>
      <x:c r="F16" s="4" t="e">
        <x:f>COUNTIFS(任务清单!$B$2:$B$165,A16,任务清单!$K$2:$K$165,"阻塞")</x:f>
      </x:c>
      <x:c r="G16" s="4" t="e">
        <x:f>COUNTIFS(任务清单!$B$2:$B$165,A16,任务清单!$H$2:$H$165,"高")</x:f>
      </x:c>
    </x:row>
    <x:row r="17" ht="20" customHeight="1">
      <x:c r="A17" s="4" t="s">
        <x:v>29</x:v>
      </x:c>
      <x:c r="B17" s="4" t="e">
        <x:f>COUNTIF(任务清单!$B$2:$B$165,A17)</x:f>
      </x:c>
      <x:c r="C17" s="4" t="e">
        <x:f>COUNTIFS(任务清单!$B$2:$B$165,A17,任务清单!$J$2:$J$165,"☑")</x:f>
      </x:c>
      <x:c r="D17" s="5">
        <x:f t="shared" si="0"/>
        <x:v>1</x:v>
      </x:c>
      <x:c r="E17" s="4" t="e">
        <x:f>COUNTIFS(任务清单!$B$2:$B$165,A17,任务清单!$K$2:$K$165,"进行中")</x:f>
      </x:c>
      <x:c r="F17" s="4" t="e">
        <x:f>COUNTIFS(任务清单!$B$2:$B$165,A17,任务清单!$K$2:$K$165,"阻塞")</x:f>
      </x:c>
      <x:c r="G17" s="4" t="e">
        <x:f>COUNTIFS(任务清单!$B$2:$B$165,A17,任务清单!$H$2:$H$165,"高")</x:f>
      </x:c>
    </x:row>
    <x:row r="18" ht="20" customHeight="1">
      <x:c r="A18" s="4" t="s">
        <x:v>30</x:v>
      </x:c>
      <x:c r="B18" s="4" t="e">
        <x:f>COUNTIF(任务清单!$B$2:$B$165,A18)</x:f>
      </x:c>
      <x:c r="C18" s="4" t="e">
        <x:f>COUNTIFS(任务清单!$B$2:$B$165,A18,任务清单!$J$2:$J$165,"☑")</x:f>
      </x:c>
      <x:c r="D18" s="5">
        <x:f t="shared" si="0"/>
        <x:v>0.91666666666666663</x:v>
      </x:c>
      <x:c r="E18" s="4" t="e">
        <x:f>COUNTIFS(任务清单!$B$2:$B$165,A18,任务清单!$K$2:$K$165,"进行中")</x:f>
      </x:c>
      <x:c r="F18" s="4" t="e">
        <x:f>COUNTIFS(任务清单!$B$2:$B$165,A18,任务清单!$K$2:$K$165,"阻塞")</x:f>
      </x:c>
      <x:c r="G18" s="4" t="e">
        <x:f>COUNTIFS(任务清单!$B$2:$B$165,A18,任务清单!$H$2:$H$165,"高")</x:f>
      </x:c>
    </x:row>
    <x:row r="19" ht="20" customHeight="1">
      <x:c r="A19" s="4" t="s">
        <x:v>31</x:v>
      </x:c>
      <x:c r="B19" s="4" t="e">
        <x:f>COUNTIF(任务清单!$B$2:$B$165,A19)</x:f>
      </x:c>
      <x:c r="C19" s="4" t="e">
        <x:f>COUNTIFS(任务清单!$B$2:$B$165,A19,任务清单!$J$2:$J$165,"☑")</x:f>
      </x:c>
      <x:c r="D19" s="5">
        <x:f t="shared" si="0"/>
        <x:v>0</x:v>
      </x:c>
      <x:c r="E19" s="4" t="e">
        <x:f>COUNTIFS(任务清单!$B$2:$B$165,A19,任务清单!$K$2:$K$165,"进行中")</x:f>
      </x:c>
      <x:c r="F19" s="4" t="e">
        <x:f>COUNTIFS(任务清单!$B$2:$B$165,A19,任务清单!$K$2:$K$165,"阻塞")</x:f>
      </x:c>
      <x:c r="G19" s="4" t="e">
        <x:f>COUNTIFS(任务清单!$B$2:$B$165,A19,任务清单!$H$2:$H$165,"高")</x:f>
      </x:c>
    </x:row>
    <x:row r="20" ht="20" customHeight="1">
      <x:c r="A20" s="4" t="s">
        <x:v>32</x:v>
      </x:c>
      <x:c r="B20" s="4" t="e">
        <x:f>COUNTIF(任务清单!$B$2:$B$165,A20)</x:f>
      </x:c>
      <x:c r="C20" s="4" t="e">
        <x:f>COUNTIFS(任务清单!$B$2:$B$165,A20,任务清单!$J$2:$J$165,"☑")</x:f>
      </x:c>
      <x:c r="D20" s="5">
        <x:f t="shared" si="0"/>
        <x:v>0</x:v>
      </x:c>
      <x:c r="E20" s="4" t="e">
        <x:f>COUNTIFS(任务清单!$B$2:$B$165,A20,任务清单!$K$2:$K$165,"进行中")</x:f>
      </x:c>
      <x:c r="F20" s="4" t="e">
        <x:f>COUNTIFS(任务清单!$B$2:$B$165,A20,任务清单!$K$2:$K$165,"阻塞")</x:f>
      </x:c>
      <x:c r="G20" s="4" t="e">
        <x:f>COUNTIFS(任务清单!$B$2:$B$165,A20,任务清单!$H$2:$H$165,"高")</x:f>
      </x:c>
    </x:row>
    <x:row r="21" ht="20" customHeight="1">
      <x:c r="A21" s="4" t="s">
        <x:v>33</x:v>
      </x:c>
      <x:c r="B21" s="4" t="e">
        <x:f>COUNTIF(任务清单!$B$2:$B$165,A21)</x:f>
      </x:c>
      <x:c r="C21" s="4" t="e">
        <x:f>COUNTIFS(任务清单!$B$2:$B$165,A21,任务清单!$J$2:$J$165,"☑")</x:f>
      </x:c>
      <x:c r="D21" s="5">
        <x:f t="shared" si="0"/>
        <x:v>0</x:v>
      </x:c>
      <x:c r="E21" s="4" t="e">
        <x:f>COUNTIFS(任务清单!$B$2:$B$165,A21,任务清单!$K$2:$K$165,"进行中")</x:f>
      </x:c>
      <x:c r="F21" s="4" t="e">
        <x:f>COUNTIFS(任务清单!$B$2:$B$165,A21,任务清单!$K$2:$K$165,"阻塞")</x:f>
      </x:c>
      <x:c r="G21" s="4" t="e">
        <x:f>COUNTIFS(任务清单!$B$2:$B$165,A21,任务清单!$H$2:$H$165,"高")</x:f>
      </x:c>
    </x:row>
    <x:row r="22" ht="20" customHeight="1">
      <x:c r="A22" s="4" t="s">
        <x:v>34</x:v>
      </x:c>
      <x:c r="B22" s="4" t="e">
        <x:f>COUNTIF(任务清单!$B$2:$B$165,A22)</x:f>
      </x:c>
      <x:c r="C22" s="4" t="e">
        <x:f>COUNTIFS(任务清单!$B$2:$B$165,A22,任务清单!$J$2:$J$165,"☑")</x:f>
      </x:c>
      <x:c r="D22" s="5">
        <x:f t="shared" si="0"/>
        <x:v>0</x:v>
      </x:c>
      <x:c r="E22" s="4" t="e">
        <x:f>COUNTIFS(任务清单!$B$2:$B$165,A22,任务清单!$K$2:$K$165,"进行中")</x:f>
      </x:c>
      <x:c r="F22" s="4" t="e">
        <x:f>COUNTIFS(任务清单!$B$2:$B$165,A22,任务清单!$K$2:$K$165,"阻塞")</x:f>
      </x:c>
      <x:c r="G22" s="4" t="e">
        <x:f>COUNTIFS(任务清单!$B$2:$B$165,A22,任务清单!$H$2:$H$165,"高")</x:f>
      </x:c>
    </x:row>
    <x:row r="23" ht="20" customHeight="1">
      <x:c r="A23" s="4" t="s">
        <x:v>35</x:v>
      </x:c>
      <x:c r="B23" s="4" t="e">
        <x:f>COUNTIF(任务清单!$B$2:$B$165,A23)</x:f>
      </x:c>
      <x:c r="C23" s="4" t="e">
        <x:f>COUNTIFS(任务清单!$B$2:$B$165,A23,任务清单!$J$2:$J$165,"☑")</x:f>
      </x:c>
      <x:c r="D23" s="5">
        <x:f t="shared" si="0"/>
        <x:v>0</x:v>
      </x:c>
      <x:c r="E23" s="4" t="e">
        <x:f>COUNTIFS(任务清单!$B$2:$B$165,A23,任务清单!$K$2:$K$165,"进行中")</x:f>
      </x:c>
      <x:c r="F23" s="4" t="e">
        <x:f>COUNTIFS(任务清单!$B$2:$B$165,A23,任务清单!$K$2:$K$165,"阻塞")</x:f>
      </x:c>
      <x:c r="G23" s="4" t="e">
        <x:f>COUNTIFS(任务清单!$B$2:$B$165,A23,任务清单!$H$2:$H$165,"高")</x:f>
      </x:c>
    </x:row>
    <x:row r="24" ht="20" customHeight="1">
      <x:c r="A24" s="4" t="s">
        <x:v>36</x:v>
      </x:c>
      <x:c r="B24" s="4" t="e">
        <x:f>COUNTIF(任务清单!$B$2:$B$165,A24)</x:f>
      </x:c>
      <x:c r="C24" s="4" t="e">
        <x:f>COUNTIFS(任务清单!$B$2:$B$165,A24,任务清单!$J$2:$J$165,"☑")</x:f>
      </x:c>
      <x:c r="D24" s="5">
        <x:f t="shared" si="0"/>
        <x:v>0</x:v>
      </x:c>
      <x:c r="E24" s="4" t="e">
        <x:f>COUNTIFS(任务清单!$B$2:$B$165,A24,任务清单!$K$2:$K$165,"进行中")</x:f>
      </x:c>
      <x:c r="F24" s="4" t="e">
        <x:f>COUNTIFS(任务清单!$B$2:$B$165,A24,任务清单!$K$2:$K$165,"阻塞")</x:f>
      </x:c>
      <x:c r="G24" s="4" t="e">
        <x:f>COUNTIFS(任务清单!$B$2:$B$165,A24,任务清单!$H$2:$H$165,"高")</x:f>
      </x:c>
    </x:row>
    <x:row r="25" ht="20" customHeight="1">
      <x:c r="A25" s="4" t="s">
        <x:v>37</x:v>
      </x:c>
      <x:c r="B25" s="4" t="e">
        <x:f>COUNTIF(任务清单!$B$2:$B$165,A25)</x:f>
      </x:c>
      <x:c r="C25" s="4" t="e">
        <x:f>COUNTIFS(任务清单!$B$2:$B$165,A25,任务清单!$J$2:$J$165,"☑")</x:f>
      </x:c>
      <x:c r="D25" s="5">
        <x:f t="shared" si="0"/>
        <x:v>0</x:v>
      </x:c>
      <x:c r="E25" s="4" t="e">
        <x:f>COUNTIFS(任务清单!$B$2:$B$165,A25,任务清单!$K$2:$K$165,"进行中")</x:f>
      </x:c>
      <x:c r="F25" s="4" t="e">
        <x:f>COUNTIFS(任务清单!$B$2:$B$165,A25,任务清单!$K$2:$K$165,"阻塞")</x:f>
      </x:c>
      <x:c r="G25" s="4" t="e">
        <x:f>COUNTIFS(任务清单!$B$2:$B$165,A25,任务清单!$H$2:$H$165,"高")</x:f>
      </x:c>
    </x:row>
    <x:row r="26" ht="20" customHeight="1">
      <x:c r="A26" s="4" t="s">
        <x:v>38</x:v>
      </x:c>
      <x:c r="B26" s="4" t="e">
        <x:f>COUNTIF(任务清单!$B$2:$B$165,A26)</x:f>
      </x:c>
      <x:c r="C26" s="4" t="e">
        <x:f>COUNTIFS(任务清单!$B$2:$B$165,A26,任务清单!$J$2:$J$165,"☑")</x:f>
      </x:c>
      <x:c r="D26" s="5">
        <x:f t="shared" si="0"/>
        <x:v>0</x:v>
      </x:c>
      <x:c r="E26" s="4" t="e">
        <x:f>COUNTIFS(任务清单!$B$2:$B$165,A26,任务清单!$K$2:$K$165,"进行中")</x:f>
      </x:c>
      <x:c r="F26" s="4" t="e">
        <x:f>COUNTIFS(任务清单!$B$2:$B$165,A26,任务清单!$K$2:$K$165,"阻塞")</x:f>
      </x:c>
      <x:c r="G26" s="4" t="e">
        <x:f>COUNTIFS(任务清单!$B$2:$B$165,A26,任务清单!$H$2:$H$165,"高")</x:f>
      </x:c>
    </x:row>
    <x:row r="27" ht="20" customHeight="1">
      <x:c r="A27" s="4" t="s">
        <x:v>39</x:v>
      </x:c>
      <x:c r="B27" s="4" t="e">
        <x:f>COUNTIF(任务清单!$B$2:$B$165,A27)</x:f>
      </x:c>
      <x:c r="C27" s="4" t="e">
        <x:f>COUNTIFS(任务清单!$B$2:$B$165,A27,任务清单!$J$2:$J$165,"☑")</x:f>
      </x:c>
      <x:c r="D27" s="5">
        <x:f t="shared" si="0"/>
        <x:v>0</x:v>
      </x:c>
      <x:c r="E27" s="4" t="e">
        <x:f>COUNTIFS(任务清单!$B$2:$B$165,A27,任务清单!$K$2:$K$165,"进行中")</x:f>
      </x:c>
      <x:c r="F27" s="4" t="e">
        <x:f>COUNTIFS(任务清单!$B$2:$B$165,A27,任务清单!$K$2:$K$165,"阻塞")</x:f>
      </x:c>
      <x:c r="G27" s="4" t="e">
        <x:f>COUNTIFS(任务清单!$B$2:$B$165,A27,任务清单!$H$2:$H$165,"高")</x:f>
      </x:c>
    </x:row>
  </x:sheetData>
  <x:mergeCells>
    <x:mergeCell ref="A1:H1"/>
    <x:mergeCell ref="E3:H3"/>
    <x:mergeCell ref="E4:H9"/>
  </x:mergeCells>
  <x:conditionalFormatting sqref="D13:D27">
    <x:cfRule type="dataBar" priority="1">
      <x:dataBar>
        <x:cfvo type="min"/>
        <x:cfvo type="max"/>
        <x:color rgb="FF6FA8DC"/>
      </x:dataBar>
    </x:cfRule>
    <x:cfRule type="dataBar" priority="2">
      <x:dataBar>
        <x:cfvo type="min"/>
        <x:cfvo type="max"/>
        <x:color rgb="FF6FA8DC"/>
      </x:dataBar>
      <x:extLst>
        <x:ext xmlns:x14="http://schemas.microsoft.com/office/spreadsheetml/2009/9/main" uri="{B025F937-C7B1-47D3-B67F-A62EFF666E3E}">
          <x14:id>{9BFB47AB-F48E-53DF-E161-4C924D031700}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4bbae95d358d432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9BFB47AB-F48E-53DF-E161-4C924D031700}">
            <x14:dataBar>
              <x14:cfvo type="min"/>
              <x14:cfvo type="max"/>
              <x14:fillColor rgb="FF6FA8DC"/>
              <x14:negativeFillColor auto="1"/>
              <x14:axisColor auto="1"/>
            </x14:dataBar>
          </x14:cfRule>
          <xm:sqref>D13:D27</xm:sqref>
        </x14:conditionalFormatting>
      </x14:conditionalFormattings>
    </x:ext>
  </x:extLst>
</x:worksheet>
</file>

<file path=xl/worksheets/sheet2.xml><?xml version="1.0" encoding="utf-8"?>
<worksheet xmlns="http://schemas.openxmlformats.org/spreadsheetml/2006/main" xmlns:ns1="http://schemas.openxmlformats.org/officeDocument/2006/relationships">
  <sheetFormatPr baseColWidth="10" defaultColWidth="8.83203125" defaultRowHeight="14"/>
  <cols>
    <col min="1" max="1" width="7" customWidth="1"/>
    <col min="2" max="2" width="18" customWidth="1"/>
    <col min="3" max="3" width="16" customWidth="1"/>
    <col min="4" max="4" width="24" customWidth="1"/>
    <col min="5" max="5" width="46" customWidth="1"/>
    <col min="6" max="6" width="30" customWidth="1"/>
    <col min="7" max="7" width="34" customWidth="1"/>
    <col min="8" max="8" width="10" customWidth="1"/>
    <col min="9" max="9" width="12" customWidth="1"/>
    <col min="10" max="10" width="9" customWidth="1"/>
    <col min="11" max="11" width="12" customWidth="1"/>
    <col min="12" max="14" width="13" customWidth="1"/>
    <col min="15" max="15" width="28" customWidth="1"/>
  </cols>
  <sheetData>
    <row r="1" ht="20" customHeight="1">
      <c r="A1" s="6" t="s">
        <v>40</v>
      </c>
      <c r="B1" s="6" t="s">
        <v>18</v>
      </c>
      <c r="C1" s="6" t="s">
        <v>41</v>
      </c>
      <c r="D1" s="6" t="s">
        <v>42</v>
      </c>
      <c r="E1" s="6" t="s">
        <v>43</v>
      </c>
      <c r="F1" s="6" t="s">
        <v>44</v>
      </c>
      <c r="G1" s="6" t="s">
        <v>45</v>
      </c>
      <c r="H1" s="6" t="s">
        <v>46</v>
      </c>
      <c r="I1" s="6" t="s">
        <v>47</v>
      </c>
      <c r="J1" s="6" t="s">
        <v>48</v>
      </c>
      <c r="K1" s="6" t="s">
        <v>49</v>
      </c>
      <c r="L1" s="6" t="s">
        <v>50</v>
      </c>
      <c r="M1" s="6" t="s">
        <v>51</v>
      </c>
      <c r="N1" s="6" t="s">
        <v>52</v>
      </c>
      <c r="O1" s="6" t="s">
        <v>53</v>
      </c>
    </row>
    <row r="2" ht="35.25" customHeight="1">
      <c r="A2" s="7">
        <v>1</v>
      </c>
      <c r="B2" s="7" t="s">
        <v>25</v>
      </c>
      <c r="C2" s="7" t="s">
        <v>54</v>
      </c>
      <c r="D2" s="7" t="s">
        <v>55</v>
      </c>
      <c r="E2" s="7" t="s">
        <v>56</v>
      </c>
      <c r="F2" s="7" t="s">
        <v>57</v>
      </c>
      <c r="G2" s="7" t="s">
        <v>58</v>
      </c>
      <c r="H2" s="8" t="s">
        <v>59</v>
      </c>
      <c r="I2" s="8">
        <v>2</v>
      </c>
      <c r="J2" s="8" t="s">
        <v>60</v>
      </c>
      <c r="K2" s="8" t="s">
        <v>61</v>
      </c>
      <c r="L2" s="9"/>
      <c r="M2" s="9"/>
      <c r="N2" s="9"/>
      <c r="O2" s="7"/>
    </row>
    <row r="3" ht="35.25" customHeight="1">
      <c r="A3" s="7">
        <v>2</v>
      </c>
      <c r="B3" s="7" t="s">
        <v>25</v>
      </c>
      <c r="C3" s="7" t="s">
        <v>62</v>
      </c>
      <c r="D3" s="7" t="s">
        <v>63</v>
      </c>
      <c r="E3" s="7" t="s">
        <v>64</v>
      </c>
      <c r="F3" s="7" t="s">
        <v>65</v>
      </c>
      <c r="G3" s="7" t="s">
        <v>66</v>
      </c>
      <c r="H3" s="8" t="s">
        <v>59</v>
      </c>
      <c r="I3" s="8">
        <v>2</v>
      </c>
      <c r="J3" s="8" t="s">
        <v>60</v>
      </c>
      <c r="K3" s="8" t="s">
        <v>61</v>
      </c>
      <c r="L3" s="9"/>
      <c r="M3" s="9"/>
      <c r="N3" s="9"/>
      <c r="O3" s="7"/>
    </row>
    <row r="4" ht="35.25" customHeight="1">
      <c r="A4" s="7">
        <v>3</v>
      </c>
      <c r="B4" s="7" t="s">
        <v>25</v>
      </c>
      <c r="C4" s="7" t="s">
        <v>67</v>
      </c>
      <c r="D4" s="7" t="s">
        <v>68</v>
      </c>
      <c r="E4" s="7" t="s">
        <v>69</v>
      </c>
      <c r="F4" s="7" t="s">
        <v>70</v>
      </c>
      <c r="G4" s="7" t="s">
        <v>71</v>
      </c>
      <c r="H4" s="8" t="s">
        <v>59</v>
      </c>
      <c r="I4" s="8">
        <v>2</v>
      </c>
      <c r="J4" s="8" t="s">
        <v>60</v>
      </c>
      <c r="K4" s="8" t="s">
        <v>61</v>
      </c>
      <c r="L4" s="9"/>
      <c r="M4" s="9"/>
      <c r="N4" s="9"/>
      <c r="O4" s="7"/>
    </row>
    <row r="5" ht="35.25" customHeight="1">
      <c r="A5" s="7">
        <v>4</v>
      </c>
      <c r="B5" s="7" t="s">
        <v>25</v>
      </c>
      <c r="C5" s="7" t="s">
        <v>72</v>
      </c>
      <c r="D5" s="7" t="s">
        <v>73</v>
      </c>
      <c r="E5" s="7" t="s">
        <v>74</v>
      </c>
      <c r="F5" s="7" t="s">
        <v>75</v>
      </c>
      <c r="G5" s="7" t="s">
        <v>76</v>
      </c>
      <c r="H5" s="8" t="s">
        <v>59</v>
      </c>
      <c r="I5" s="8">
        <v>2</v>
      </c>
      <c r="J5" s="8" t="s">
        <v>60</v>
      </c>
      <c r="K5" s="8" t="s">
        <v>61</v>
      </c>
      <c r="L5" s="9"/>
      <c r="M5" s="9"/>
      <c r="N5" s="9"/>
      <c r="O5" s="7"/>
    </row>
    <row r="6" ht="35.25" customHeight="1">
      <c r="A6" s="7">
        <v>5</v>
      </c>
      <c r="B6" s="7" t="s">
        <v>25</v>
      </c>
      <c r="C6" s="7" t="s">
        <v>77</v>
      </c>
      <c r="D6" s="7" t="s">
        <v>78</v>
      </c>
      <c r="E6" s="7" t="str">
        <v>设计演示数据：用户、商家窗口、菜品、订单、大屏</v>
      </c>
      <c r="F6" s="7" t="s">
        <v>79</v>
      </c>
      <c r="G6" s="7" t="s">
        <v>80</v>
      </c>
      <c r="H6" s="8" t="s">
        <v>59</v>
      </c>
      <c r="I6" s="8">
        <v>2</v>
      </c>
      <c r="J6" s="8" t="s">
        <v>81</v>
      </c>
      <c r="K6" s="8" t="s">
        <v>82</v>
      </c>
      <c r="L6" s="9"/>
      <c r="M6" s="9"/>
      <c r="N6" s="9"/>
      <c r="O6" s="7"/>
    </row>
    <row r="7" ht="20" customHeight="1">
      <c r="A7" s="7">
        <v>6</v>
      </c>
      <c r="B7" s="7" t="s">
        <v>26</v>
      </c>
      <c r="C7" s="7" t="s">
        <v>83</v>
      </c>
      <c r="D7" s="7" t="s">
        <v>84</v>
      </c>
      <c r="E7" s="7" t="s">
        <v>85</v>
      </c>
      <c r="F7" s="7" t="s">
        <v>65</v>
      </c>
      <c r="G7" s="7" t="s">
        <v>86</v>
      </c>
      <c r="H7" s="8" t="s">
        <v>59</v>
      </c>
      <c r="I7" s="8">
        <v>2</v>
      </c>
      <c r="J7" s="8" t="s">
        <v>60</v>
      </c>
      <c r="K7" s="8" t="s">
        <v>61</v>
      </c>
      <c r="L7" s="9"/>
      <c r="M7" s="9"/>
      <c r="N7" s="9"/>
      <c r="O7" s="7"/>
    </row>
    <row r="8" ht="20" customHeight="1">
      <c r="A8" s="7">
        <v>7</v>
      </c>
      <c r="B8" s="7" t="s">
        <v>26</v>
      </c>
      <c r="C8" s="7" t="s">
        <v>83</v>
      </c>
      <c r="D8" s="7" t="s">
        <v>87</v>
      </c>
      <c r="E8" s="7" t="s">
        <v>88</v>
      </c>
      <c r="F8" s="7" t="s">
        <v>89</v>
      </c>
      <c r="G8" s="7" t="s">
        <v>90</v>
      </c>
      <c r="H8" s="8" t="s">
        <v>59</v>
      </c>
      <c r="I8" s="8">
        <v>2</v>
      </c>
      <c r="J8" s="8" t="s">
        <v>60</v>
      </c>
      <c r="K8" s="8" t="s">
        <v>61</v>
      </c>
      <c r="L8" s="9"/>
      <c r="M8" s="9"/>
      <c r="N8" s="9"/>
      <c r="O8" s="7"/>
    </row>
    <row r="9" ht="20" customHeight="1">
      <c r="A9" s="7">
        <v>8</v>
      </c>
      <c r="B9" s="7" t="s">
        <v>26</v>
      </c>
      <c r="C9" s="7" t="s">
        <v>91</v>
      </c>
      <c r="D9" s="7" t="s">
        <v>92</v>
      </c>
      <c r="E9" s="7" t="s">
        <v>93</v>
      </c>
      <c r="F9" s="7" t="s">
        <v>65</v>
      </c>
      <c r="G9" s="7" t="s">
        <v>94</v>
      </c>
      <c r="H9" s="8" t="s">
        <v>59</v>
      </c>
      <c r="I9" s="8">
        <v>2</v>
      </c>
      <c r="J9" s="8" t="s">
        <v>60</v>
      </c>
      <c r="K9" s="8" t="s">
        <v>61</v>
      </c>
      <c r="L9" s="9"/>
      <c r="M9" s="9"/>
      <c r="N9" s="9"/>
      <c r="O9" s="7"/>
    </row>
    <row r="10" ht="20" customHeight="1">
      <c r="A10" s="7">
        <v>9</v>
      </c>
      <c r="B10" s="7" t="s">
        <v>26</v>
      </c>
      <c r="C10" s="7" t="s">
        <v>95</v>
      </c>
      <c r="D10" s="7" t="s">
        <v>96</v>
      </c>
      <c r="E10" s="7" t="s">
        <v>97</v>
      </c>
      <c r="F10" s="7" t="s">
        <v>65</v>
      </c>
      <c r="G10" s="7" t="s">
        <v>98</v>
      </c>
      <c r="H10" s="8" t="s">
        <v>59</v>
      </c>
      <c r="I10" s="8">
        <v>2</v>
      </c>
      <c r="J10" s="8" t="s">
        <v>60</v>
      </c>
      <c r="K10" s="8" t="s">
        <v>61</v>
      </c>
      <c r="L10" s="9"/>
      <c r="M10" s="9"/>
      <c r="N10" s="9"/>
      <c r="O10" s="7"/>
    </row>
    <row r="11" ht="20" customHeight="1">
      <c r="A11" s="7">
        <v>10</v>
      </c>
      <c r="B11" s="7" t="s">
        <v>26</v>
      </c>
      <c r="C11" s="7" t="s">
        <v>99</v>
      </c>
      <c r="D11" s="7" t="s">
        <v>100</v>
      </c>
      <c r="E11" s="7" t="s">
        <v>101</v>
      </c>
      <c r="F11" s="7" t="s">
        <v>102</v>
      </c>
      <c r="G11" s="7" t="s">
        <v>103</v>
      </c>
      <c r="H11" s="8" t="s">
        <v>59</v>
      </c>
      <c r="I11" s="8">
        <v>2</v>
      </c>
      <c r="J11" s="8" t="s">
        <v>60</v>
      </c>
      <c r="K11" s="8" t="s">
        <v>61</v>
      </c>
      <c r="L11" s="9"/>
      <c r="M11" s="9"/>
      <c r="N11" s="9"/>
      <c r="O11" s="7"/>
    </row>
    <row r="12" ht="20" customHeight="1">
      <c r="A12" s="7">
        <v>11</v>
      </c>
      <c r="B12" s="7" t="s">
        <v>26</v>
      </c>
      <c r="C12" s="7" t="s">
        <v>104</v>
      </c>
      <c r="D12" s="7" t="s">
        <v>105</v>
      </c>
      <c r="E12" s="7" t="s">
        <v>106</v>
      </c>
      <c r="F12" s="7" t="s">
        <v>65</v>
      </c>
      <c r="G12" s="7" t="s">
        <v>107</v>
      </c>
      <c r="H12" s="8" t="s">
        <v>59</v>
      </c>
      <c r="I12" s="8">
        <v>2</v>
      </c>
      <c r="J12" s="8" t="s">
        <v>60</v>
      </c>
      <c r="K12" s="8" t="s">
        <v>61</v>
      </c>
      <c r="L12" s="9"/>
      <c r="M12" s="9"/>
      <c r="N12" s="9"/>
      <c r="O12" s="7"/>
    </row>
    <row r="13" ht="20" customHeight="1">
      <c r="A13" s="7">
        <v>12</v>
      </c>
      <c r="B13" s="7" t="s">
        <v>26</v>
      </c>
      <c r="C13" s="7" t="s">
        <v>108</v>
      </c>
      <c r="D13" s="7" t="s">
        <v>109</v>
      </c>
      <c r="E13" s="7" t="s">
        <v>110</v>
      </c>
      <c r="F13" s="7" t="s">
        <v>65</v>
      </c>
      <c r="G13" s="7" t="s">
        <v>111</v>
      </c>
      <c r="H13" s="8" t="s">
        <v>59</v>
      </c>
      <c r="I13" s="8">
        <v>2</v>
      </c>
      <c r="J13" s="8" t="s">
        <v>60</v>
      </c>
      <c r="K13" s="8" t="s">
        <v>61</v>
      </c>
      <c r="L13" s="9"/>
      <c r="M13" s="9"/>
      <c r="N13" s="9"/>
      <c r="O13" s="7"/>
    </row>
    <row r="14" ht="35.25" customHeight="1">
      <c r="A14" s="7">
        <v>13</v>
      </c>
      <c r="B14" s="7" t="s">
        <v>27</v>
      </c>
      <c r="C14" s="7" t="s">
        <v>112</v>
      </c>
      <c r="D14" s="7" t="s">
        <v>113</v>
      </c>
      <c r="E14" s="7" t="s">
        <v>114</v>
      </c>
      <c r="F14" s="7" t="s">
        <v>115</v>
      </c>
      <c r="G14" s="7" t="s">
        <v>116</v>
      </c>
      <c r="H14" s="8" t="s">
        <v>59</v>
      </c>
      <c r="I14" s="8">
        <v>4</v>
      </c>
      <c r="J14" s="8" t="s">
        <v>60</v>
      </c>
      <c r="K14" s="8" t="s">
        <v>61</v>
      </c>
      <c r="L14" s="9"/>
      <c r="M14" s="9"/>
      <c r="N14" s="9"/>
      <c r="O14" s="7"/>
    </row>
    <row r="15" ht="20" customHeight="1">
      <c r="A15" s="7">
        <v>14</v>
      </c>
      <c r="B15" s="7" t="s">
        <v>27</v>
      </c>
      <c r="C15" s="7" t="s">
        <v>117</v>
      </c>
      <c r="D15" s="7" t="s">
        <v>118</v>
      </c>
      <c r="E15" s="7" t="s">
        <v>119</v>
      </c>
      <c r="F15" s="7" t="s">
        <v>112</v>
      </c>
      <c r="G15" s="7" t="s">
        <v>120</v>
      </c>
      <c r="H15" s="8" t="s">
        <v>59</v>
      </c>
      <c r="I15" s="8">
        <v>2</v>
      </c>
      <c r="J15" s="8" t="s">
        <v>60</v>
      </c>
      <c r="K15" s="8" t="s">
        <v>61</v>
      </c>
      <c r="L15" s="9"/>
      <c r="M15" s="9"/>
      <c r="N15" s="9"/>
      <c r="O15" s="7"/>
    </row>
    <row r="16" ht="20" customHeight="1">
      <c r="A16" s="7">
        <v>15</v>
      </c>
      <c r="B16" s="7" t="s">
        <v>27</v>
      </c>
      <c r="C16" s="7" t="s">
        <v>121</v>
      </c>
      <c r="D16" s="7" t="s">
        <v>122</v>
      </c>
      <c r="E16" s="7" t="s">
        <v>123</v>
      </c>
      <c r="F16" s="7" t="s">
        <v>112</v>
      </c>
      <c r="G16" s="7" t="s">
        <v>124</v>
      </c>
      <c r="H16" s="8" t="s">
        <v>59</v>
      </c>
      <c r="I16" s="8">
        <v>2</v>
      </c>
      <c r="J16" s="8" t="s">
        <v>60</v>
      </c>
      <c r="K16" s="8" t="s">
        <v>61</v>
      </c>
      <c r="L16" s="9"/>
      <c r="M16" s="9"/>
      <c r="N16" s="9"/>
      <c r="O16" s="7"/>
    </row>
    <row r="17" ht="20" customHeight="1">
      <c r="A17" s="7">
        <v>16</v>
      </c>
      <c r="B17" s="7" t="s">
        <v>27</v>
      </c>
      <c r="C17" s="7" t="s">
        <v>125</v>
      </c>
      <c r="D17" s="7" t="s">
        <v>126</v>
      </c>
      <c r="E17" s="7" t="s">
        <v>127</v>
      </c>
      <c r="F17" s="7" t="s">
        <v>112</v>
      </c>
      <c r="G17" s="7" t="s">
        <v>128</v>
      </c>
      <c r="H17" s="8" t="s">
        <v>59</v>
      </c>
      <c r="I17" s="8">
        <v>2</v>
      </c>
      <c r="J17" s="8" t="s">
        <v>60</v>
      </c>
      <c r="K17" s="8" t="s">
        <v>61</v>
      </c>
      <c r="L17" s="9"/>
      <c r="M17" s="9"/>
      <c r="N17" s="9"/>
      <c r="O17" s="7"/>
    </row>
    <row r="18" ht="52.75" customHeight="1">
      <c r="A18" s="7">
        <v>17</v>
      </c>
      <c r="B18" s="7" t="s">
        <v>27</v>
      </c>
      <c r="C18" s="7" t="s">
        <v>129</v>
      </c>
      <c r="D18" s="7" t="s">
        <v>130</v>
      </c>
      <c r="E18" s="7" t="s">
        <v>131</v>
      </c>
      <c r="F18" s="7" t="s">
        <v>112</v>
      </c>
      <c r="G18" s="7" t="s">
        <v>132</v>
      </c>
      <c r="H18" s="8" t="s">
        <v>59</v>
      </c>
      <c r="I18" s="8">
        <v>2</v>
      </c>
      <c r="J18" s="8" t="s">
        <v>60</v>
      </c>
      <c r="K18" s="8" t="s">
        <v>61</v>
      </c>
      <c r="L18" s="9"/>
      <c r="M18" s="9"/>
      <c r="N18" s="9"/>
      <c r="O18" s="7"/>
    </row>
    <row r="19" ht="20" customHeight="1">
      <c r="A19" s="7">
        <v>18</v>
      </c>
      <c r="B19" s="7" t="s">
        <v>27</v>
      </c>
      <c r="C19" s="7" t="s">
        <v>133</v>
      </c>
      <c r="D19" s="7" t="s">
        <v>134</v>
      </c>
      <c r="E19" s="7" t="s">
        <v>135</v>
      </c>
      <c r="F19" s="7" t="s">
        <v>136</v>
      </c>
      <c r="G19" s="7" t="s">
        <v>137</v>
      </c>
      <c r="H19" s="8" t="s">
        <v>59</v>
      </c>
      <c r="I19" s="8">
        <v>2</v>
      </c>
      <c r="J19" s="8" t="s">
        <v>60</v>
      </c>
      <c r="K19" s="8" t="s">
        <v>61</v>
      </c>
      <c r="L19" s="9"/>
      <c r="M19" s="9"/>
      <c r="N19" s="9"/>
      <c r="O19" s="7"/>
    </row>
    <row r="20" ht="52.75" customHeight="1">
      <c r="A20" s="7">
        <v>19</v>
      </c>
      <c r="B20" s="7" t="s">
        <v>27</v>
      </c>
      <c r="C20" s="7" t="s">
        <v>138</v>
      </c>
      <c r="D20" s="7" t="s">
        <v>139</v>
      </c>
      <c r="E20" s="7" t="s">
        <v>140</v>
      </c>
      <c r="F20" s="7" t="s">
        <v>117</v>
      </c>
      <c r="G20" s="7" t="s">
        <v>141</v>
      </c>
      <c r="H20" s="8" t="s">
        <v>59</v>
      </c>
      <c r="I20" s="8">
        <v>2</v>
      </c>
      <c r="J20" s="8" t="s">
        <v>60</v>
      </c>
      <c r="K20" s="8" t="s">
        <v>61</v>
      </c>
      <c r="L20" s="9"/>
      <c r="M20" s="9"/>
      <c r="N20" s="9"/>
      <c r="O20" s="7"/>
    </row>
    <row r="21" ht="20" customHeight="1">
      <c r="A21" s="7">
        <v>20</v>
      </c>
      <c r="B21" s="7" t="s">
        <v>27</v>
      </c>
      <c r="C21" s="7" t="s">
        <v>142</v>
      </c>
      <c r="D21" s="7" t="s">
        <v>143</v>
      </c>
      <c r="E21" s="7" t="s">
        <v>144</v>
      </c>
      <c r="F21" s="7" t="s">
        <v>145</v>
      </c>
      <c r="G21" s="7" t="s">
        <v>146</v>
      </c>
      <c r="H21" s="8" t="s">
        <v>59</v>
      </c>
      <c r="I21" s="8">
        <v>2</v>
      </c>
      <c r="J21" s="8" t="s">
        <v>60</v>
      </c>
      <c r="K21" s="8" t="s">
        <v>61</v>
      </c>
      <c r="L21" s="9"/>
      <c r="M21" s="9"/>
      <c r="N21" s="9"/>
      <c r="O21" s="7"/>
    </row>
    <row r="22" ht="52.75" customHeight="1">
      <c r="A22" s="7">
        <v>21</v>
      </c>
      <c r="B22" s="7" t="s">
        <v>27</v>
      </c>
      <c r="C22" s="7" t="s">
        <v>142</v>
      </c>
      <c r="D22" s="7" t="s">
        <v>147</v>
      </c>
      <c r="E22" s="7" t="str">
        <v>创建 merchant、dish、daily_menu、inventory_log、config 等表</v>
      </c>
      <c r="F22" s="7" t="s">
        <v>145</v>
      </c>
      <c r="G22" s="7" t="s">
        <v>148</v>
      </c>
      <c r="H22" s="8" t="s">
        <v>59</v>
      </c>
      <c r="I22" s="8">
        <v>2</v>
      </c>
      <c r="J22" s="8" t="s">
        <v>60</v>
      </c>
      <c r="K22" s="8" t="s">
        <v>61</v>
      </c>
      <c r="L22" s="9"/>
      <c r="M22" s="9"/>
      <c r="N22" s="9"/>
      <c r="O22" s="7"/>
    </row>
    <row r="23" ht="35.25" customHeight="1">
      <c r="A23" s="7">
        <v>22</v>
      </c>
      <c r="B23" s="7" t="s">
        <v>27</v>
      </c>
      <c r="C23" s="7" t="s">
        <v>142</v>
      </c>
      <c r="D23" s="7" t="s">
        <v>149</v>
      </c>
      <c r="E23" s="7" t="s">
        <v>150</v>
      </c>
      <c r="F23" s="7" t="s">
        <v>145</v>
      </c>
      <c r="G23" s="7" t="s">
        <v>151</v>
      </c>
      <c r="H23" s="8" t="s">
        <v>59</v>
      </c>
      <c r="I23" s="8">
        <v>2</v>
      </c>
      <c r="J23" s="8" t="s">
        <v>60</v>
      </c>
      <c r="K23" s="8" t="s">
        <v>61</v>
      </c>
      <c r="L23" s="9"/>
      <c r="M23" s="9"/>
      <c r="N23" s="9"/>
      <c r="O23" s="7"/>
    </row>
    <row r="24" ht="35.25" customHeight="1">
      <c r="A24" s="7">
        <v>23</v>
      </c>
      <c r="B24" s="7" t="s">
        <v>27</v>
      </c>
      <c r="C24" s="7" t="s">
        <v>142</v>
      </c>
      <c r="D24" s="7" t="s">
        <v>152</v>
      </c>
      <c r="E24" s="7" t="s">
        <v>153</v>
      </c>
      <c r="F24" s="7" t="s">
        <v>145</v>
      </c>
      <c r="G24" s="7" t="s">
        <v>154</v>
      </c>
      <c r="H24" s="8" t="s">
        <v>59</v>
      </c>
      <c r="I24" s="8">
        <v>2</v>
      </c>
      <c r="J24" s="8" t="s">
        <v>60</v>
      </c>
      <c r="K24" s="8" t="s">
        <v>61</v>
      </c>
      <c r="L24" s="9"/>
      <c r="M24" s="9"/>
      <c r="N24" s="9"/>
      <c r="O24" s="7"/>
    </row>
    <row r="25" ht="20" customHeight="1">
      <c r="A25" s="7">
        <v>24</v>
      </c>
      <c r="B25" s="7" t="s">
        <v>27</v>
      </c>
      <c r="C25" s="7" t="s">
        <v>133</v>
      </c>
      <c r="D25" s="7" t="s">
        <v>155</v>
      </c>
      <c r="E25" s="7" t="s">
        <v>156</v>
      </c>
      <c r="F25" s="7" t="s">
        <v>157</v>
      </c>
      <c r="G25" s="7" t="s">
        <v>158</v>
      </c>
      <c r="H25" s="8" t="s">
        <v>59</v>
      </c>
      <c r="I25" s="8">
        <v>2</v>
      </c>
      <c r="J25" s="8" t="s">
        <v>60</v>
      </c>
      <c r="K25" s="8" t="s">
        <v>61</v>
      </c>
      <c r="L25" s="9"/>
      <c r="M25" s="9"/>
      <c r="N25" s="9"/>
      <c r="O25" s="7"/>
    </row>
    <row r="26" ht="52.75" customHeight="1">
      <c r="A26" s="7">
        <v>25</v>
      </c>
      <c r="B26" s="7" t="s">
        <v>27</v>
      </c>
      <c r="C26" s="7" t="s">
        <v>159</v>
      </c>
      <c r="D26" s="7" t="s">
        <v>160</v>
      </c>
      <c r="E26" s="7" t="str">
        <v>插入 admin/user01/merchant01、商家窗口、分类、菜品、每日菜单库存</v>
      </c>
      <c r="F26" s="7" t="s">
        <v>161</v>
      </c>
      <c r="G26" s="7" t="s">
        <v>162</v>
      </c>
      <c r="H26" s="8" t="s">
        <v>59</v>
      </c>
      <c r="I26" s="8">
        <v>2</v>
      </c>
      <c r="J26" s="8" t="s">
        <v>60</v>
      </c>
      <c r="K26" s="8" t="s">
        <v>61</v>
      </c>
      <c r="L26" s="9"/>
      <c r="M26" s="9"/>
      <c r="N26" s="9"/>
      <c r="O26" s="7"/>
    </row>
    <row r="27" ht="35.25" customHeight="1">
      <c r="A27" s="7">
        <v>26</v>
      </c>
      <c r="B27" s="7" t="s">
        <v>28</v>
      </c>
      <c r="C27" s="7" t="s">
        <v>163</v>
      </c>
      <c r="D27" s="7" t="s">
        <v>164</v>
      </c>
      <c r="E27" s="7" t="s">
        <v>165</v>
      </c>
      <c r="F27" s="7" t="s">
        <v>166</v>
      </c>
      <c r="G27" s="7" t="s">
        <v>167</v>
      </c>
      <c r="H27" s="8" t="s">
        <v>59</v>
      </c>
      <c r="I27" s="8">
        <v>3</v>
      </c>
      <c r="J27" s="8" t="s">
        <v>60</v>
      </c>
      <c r="K27" s="8" t="s">
        <v>61</v>
      </c>
      <c r="L27" s="9"/>
      <c r="M27" s="9"/>
      <c r="N27" s="9"/>
      <c r="O27" s="7" t="s">
        <v>168</v>
      </c>
      <c r="P27" t="e"/>
      <c r="Q27" t="e"/>
    </row>
    <row r="28" ht="20" customHeight="1">
      <c r="A28" s="7">
        <v>27</v>
      </c>
      <c r="B28" s="7" t="s">
        <v>28</v>
      </c>
      <c r="C28" s="7" t="s">
        <v>169</v>
      </c>
      <c r="D28" s="7" t="s">
        <v>170</v>
      </c>
      <c r="E28" s="7" t="s">
        <v>171</v>
      </c>
      <c r="F28" s="7" t="s">
        <v>172</v>
      </c>
      <c r="G28" s="7" t="s">
        <v>173</v>
      </c>
      <c r="H28" s="8" t="s">
        <v>59</v>
      </c>
      <c r="I28" s="8">
        <v>2</v>
      </c>
      <c r="J28" s="8" t="s">
        <v>60</v>
      </c>
      <c r="K28" s="8" t="s">
        <v>61</v>
      </c>
      <c r="L28" s="9"/>
      <c r="M28" s="9"/>
      <c r="N28" s="9"/>
      <c r="O28" s="7"/>
    </row>
    <row r="29" ht="20" customHeight="1">
      <c r="A29" s="7">
        <v>28</v>
      </c>
      <c r="B29" s="7" t="s">
        <v>28</v>
      </c>
      <c r="C29" s="7" t="s">
        <v>169</v>
      </c>
      <c r="D29" s="7" t="s">
        <v>174</v>
      </c>
      <c r="E29" s="7" t="s">
        <v>175</v>
      </c>
      <c r="F29" s="7" t="s">
        <v>176</v>
      </c>
      <c r="G29" s="7" t="s">
        <v>177</v>
      </c>
      <c r="H29" s="8" t="s">
        <v>59</v>
      </c>
      <c r="I29" s="8">
        <v>2</v>
      </c>
      <c r="J29" s="8" t="s">
        <v>60</v>
      </c>
      <c r="K29" s="8" t="s">
        <v>61</v>
      </c>
      <c r="L29" s="9"/>
      <c r="M29" s="9"/>
      <c r="N29" s="9"/>
      <c r="O29" s="7"/>
    </row>
    <row r="30" ht="20" customHeight="1">
      <c r="A30" s="7">
        <v>29</v>
      </c>
      <c r="B30" s="7" t="s">
        <v>28</v>
      </c>
      <c r="C30" s="7" t="s">
        <v>169</v>
      </c>
      <c r="D30" s="7" t="s">
        <v>178</v>
      </c>
      <c r="E30" s="7" t="s">
        <v>179</v>
      </c>
      <c r="F30" s="7" t="s">
        <v>176</v>
      </c>
      <c r="G30" s="7" t="s">
        <v>177</v>
      </c>
      <c r="H30" s="8" t="s">
        <v>59</v>
      </c>
      <c r="I30" s="8">
        <v>2</v>
      </c>
      <c r="J30" s="8" t="s">
        <v>60</v>
      </c>
      <c r="K30" s="8" t="s">
        <v>61</v>
      </c>
      <c r="L30" s="9"/>
      <c r="M30" s="9"/>
      <c r="N30" s="9"/>
      <c r="O30" s="7"/>
    </row>
    <row r="31" ht="52.75" customHeight="1">
      <c r="A31" s="7">
        <v>30</v>
      </c>
      <c r="B31" s="7" t="s">
        <v>28</v>
      </c>
      <c r="C31" s="7" t="s">
        <v>169</v>
      </c>
      <c r="D31" s="7" t="s">
        <v>180</v>
      </c>
      <c r="E31" s="7" t="s">
        <v>181</v>
      </c>
      <c r="F31" s="7" t="s">
        <v>176</v>
      </c>
      <c r="G31" s="7" t="s">
        <v>177</v>
      </c>
      <c r="H31" s="8" t="s">
        <v>59</v>
      </c>
      <c r="I31" s="8">
        <v>2</v>
      </c>
      <c r="J31" s="8" t="s">
        <v>60</v>
      </c>
      <c r="K31" s="8" t="s">
        <v>61</v>
      </c>
      <c r="L31" s="9"/>
      <c r="M31" s="9"/>
      <c r="N31" s="9"/>
      <c r="O31" s="7"/>
    </row>
    <row r="32" ht="20" customHeight="1">
      <c r="A32" s="7">
        <v>31</v>
      </c>
      <c r="B32" s="7" t="s">
        <v>28</v>
      </c>
      <c r="C32" s="7" t="s">
        <v>169</v>
      </c>
      <c r="D32" s="7" t="s">
        <v>182</v>
      </c>
      <c r="E32" s="7" t="s">
        <v>183</v>
      </c>
      <c r="F32" s="7" t="s">
        <v>176</v>
      </c>
      <c r="G32" s="7" t="s">
        <v>177</v>
      </c>
      <c r="H32" s="8" t="s">
        <v>59</v>
      </c>
      <c r="I32" s="8">
        <v>2</v>
      </c>
      <c r="J32" s="8" t="s">
        <v>60</v>
      </c>
      <c r="K32" s="8" t="s">
        <v>61</v>
      </c>
      <c r="L32" s="9"/>
      <c r="M32" s="9"/>
      <c r="N32" s="9"/>
      <c r="O32" s="7"/>
    </row>
    <row r="33" ht="20" customHeight="1">
      <c r="A33" s="7">
        <v>32</v>
      </c>
      <c r="B33" s="7" t="s">
        <v>28</v>
      </c>
      <c r="C33" s="7" t="s">
        <v>169</v>
      </c>
      <c r="D33" s="7" t="s">
        <v>184</v>
      </c>
      <c r="E33" s="7" t="s">
        <v>185</v>
      </c>
      <c r="F33" s="7" t="s">
        <v>186</v>
      </c>
      <c r="G33" s="7" t="s">
        <v>177</v>
      </c>
      <c r="H33" s="8" t="s">
        <v>59</v>
      </c>
      <c r="I33" s="8">
        <v>2</v>
      </c>
      <c r="J33" s="8" t="s">
        <v>60</v>
      </c>
      <c r="K33" s="8" t="s">
        <v>61</v>
      </c>
      <c r="L33" s="9"/>
      <c r="M33" s="9"/>
      <c r="N33" s="9"/>
      <c r="O33" s="7"/>
    </row>
    <row r="34" ht="35.25" customHeight="1">
      <c r="A34" s="7">
        <v>33</v>
      </c>
      <c r="B34" s="7" t="s">
        <v>28</v>
      </c>
      <c r="C34" s="7" t="s">
        <v>187</v>
      </c>
      <c r="D34" s="7" t="s">
        <v>188</v>
      </c>
      <c r="E34" s="7" t="s">
        <v>189</v>
      </c>
      <c r="F34" s="7" t="s">
        <v>190</v>
      </c>
      <c r="G34" s="7" t="s">
        <v>191</v>
      </c>
      <c r="H34" s="8" t="s">
        <v>59</v>
      </c>
      <c r="I34" s="8">
        <v>2</v>
      </c>
      <c r="J34" s="8" t="s">
        <v>81</v>
      </c>
      <c r="K34" s="8" t="s">
        <v>192</v>
      </c>
      <c r="L34" s="9"/>
      <c r="M34" s="9"/>
      <c r="N34" s="9"/>
      <c r="O34" s="7"/>
    </row>
    <row r="35" ht="35.25" customHeight="1">
      <c r="A35" s="7">
        <v>34</v>
      </c>
      <c r="B35" s="7" t="s">
        <v>29</v>
      </c>
      <c r="C35" s="7" t="s">
        <v>193</v>
      </c>
      <c r="D35" s="7" t="s">
        <v>194</v>
      </c>
      <c r="E35" s="7" t="s">
        <v>195</v>
      </c>
      <c r="F35" s="7" t="s">
        <v>196</v>
      </c>
      <c r="G35" s="7" t="s">
        <v>197</v>
      </c>
      <c r="H35" s="8" t="s">
        <v>59</v>
      </c>
      <c r="I35" s="8">
        <v>2</v>
      </c>
      <c r="J35" s="8" t="s">
        <v>60</v>
      </c>
      <c r="K35" s="8" t="s">
        <v>61</v>
      </c>
      <c r="L35" s="9"/>
      <c r="M35" s="9"/>
      <c r="N35" s="9"/>
      <c r="O35" s="7"/>
    </row>
    <row r="36" ht="52.75" customHeight="1">
      <c r="A36" s="7">
        <v>35</v>
      </c>
      <c r="B36" s="7" t="s">
        <v>29</v>
      </c>
      <c r="C36" s="7" t="s">
        <v>198</v>
      </c>
      <c r="D36" s="7" t="s">
        <v>199</v>
      </c>
      <c r="E36" s="7" t="s">
        <v>200</v>
      </c>
      <c r="F36" s="7" t="s">
        <v>201</v>
      </c>
      <c r="G36" s="7" t="s">
        <v>202</v>
      </c>
      <c r="H36" s="8" t="s">
        <v>59</v>
      </c>
      <c r="I36" s="8">
        <v>2</v>
      </c>
      <c r="J36" s="8" t="s">
        <v>60</v>
      </c>
      <c r="K36" s="8" t="s">
        <v>61</v>
      </c>
      <c r="L36" s="9"/>
      <c r="M36" s="9"/>
      <c r="N36" s="9"/>
      <c r="O36" s="7"/>
    </row>
    <row r="37" ht="35.25" customHeight="1">
      <c r="A37" s="7">
        <v>36</v>
      </c>
      <c r="B37" s="7" t="s">
        <v>29</v>
      </c>
      <c r="C37" s="7" t="s">
        <v>203</v>
      </c>
      <c r="D37" s="7" t="s">
        <v>204</v>
      </c>
      <c r="E37" s="7" t="s">
        <v>205</v>
      </c>
      <c r="F37" s="7" t="s">
        <v>206</v>
      </c>
      <c r="G37" s="7" t="s">
        <v>207</v>
      </c>
      <c r="H37" s="8" t="s">
        <v>59</v>
      </c>
      <c r="I37" s="8">
        <v>2</v>
      </c>
      <c r="J37" s="8" t="s">
        <v>60</v>
      </c>
      <c r="K37" s="8" t="s">
        <v>61</v>
      </c>
      <c r="L37" s="9"/>
      <c r="M37" s="9"/>
      <c r="N37" s="9"/>
      <c r="O37" s="7"/>
    </row>
    <row r="38" ht="35.25" customHeight="1">
      <c r="A38" s="7">
        <v>37</v>
      </c>
      <c r="B38" s="7" t="s">
        <v>29</v>
      </c>
      <c r="C38" s="7" t="s">
        <v>208</v>
      </c>
      <c r="D38" s="7" t="s">
        <v>209</v>
      </c>
      <c r="E38" s="7" t="s">
        <v>210</v>
      </c>
      <c r="F38" s="7" t="s">
        <v>211</v>
      </c>
      <c r="G38" s="7" t="s">
        <v>212</v>
      </c>
      <c r="H38" s="8" t="s">
        <v>59</v>
      </c>
      <c r="I38" s="8">
        <v>2</v>
      </c>
      <c r="J38" s="8" t="s">
        <v>60</v>
      </c>
      <c r="K38" s="8" t="s">
        <v>61</v>
      </c>
      <c r="L38" s="9"/>
      <c r="M38" s="9"/>
      <c r="N38" s="9"/>
      <c r="O38" s="7"/>
    </row>
    <row r="39" ht="52.75" customHeight="1">
      <c r="A39" s="7">
        <v>38</v>
      </c>
      <c r="B39" s="7" t="s">
        <v>29</v>
      </c>
      <c r="C39" s="7" t="s">
        <v>213</v>
      </c>
      <c r="D39" s="7" t="s">
        <v>214</v>
      </c>
      <c r="E39" s="7" t="s">
        <v>215</v>
      </c>
      <c r="F39" s="7" t="s">
        <v>216</v>
      </c>
      <c r="G39" s="7" t="s">
        <v>217</v>
      </c>
      <c r="H39" s="8" t="s">
        <v>59</v>
      </c>
      <c r="I39" s="8">
        <v>2</v>
      </c>
      <c r="J39" s="8" t="s">
        <v>60</v>
      </c>
      <c r="K39" s="8" t="s">
        <v>61</v>
      </c>
      <c r="L39" s="9"/>
      <c r="M39" s="9"/>
      <c r="N39" s="9"/>
      <c r="O39" s="7"/>
    </row>
    <row r="40" ht="20" customHeight="1">
      <c r="A40" s="7">
        <v>39</v>
      </c>
      <c r="B40" s="7" t="s">
        <v>29</v>
      </c>
      <c r="C40" s="7" t="s">
        <v>218</v>
      </c>
      <c r="D40" s="7" t="s">
        <v>219</v>
      </c>
      <c r="E40" s="7" t="s">
        <v>220</v>
      </c>
      <c r="F40" s="7" t="s">
        <v>221</v>
      </c>
      <c r="G40" s="7" t="s">
        <v>222</v>
      </c>
      <c r="H40" s="8" t="s">
        <v>59</v>
      </c>
      <c r="I40" s="8">
        <v>2</v>
      </c>
      <c r="J40" s="8" t="s">
        <v>60</v>
      </c>
      <c r="K40" s="8" t="s">
        <v>61</v>
      </c>
      <c r="L40" s="9"/>
      <c r="M40" s="9"/>
      <c r="N40" s="9"/>
      <c r="O40" s="7"/>
    </row>
    <row r="41" ht="20" customHeight="1">
      <c r="A41" s="7">
        <v>40</v>
      </c>
      <c r="B41" s="7" t="s">
        <v>29</v>
      </c>
      <c r="C41" s="7" t="s">
        <v>223</v>
      </c>
      <c r="D41" s="7" t="s">
        <v>224</v>
      </c>
      <c r="E41" s="7" t="s">
        <v>225</v>
      </c>
      <c r="F41" s="7" t="s">
        <v>196</v>
      </c>
      <c r="G41" s="7" t="s">
        <v>226</v>
      </c>
      <c r="H41" s="8" t="s">
        <v>59</v>
      </c>
      <c r="I41" s="8">
        <v>2</v>
      </c>
      <c r="J41" s="8" t="s">
        <v>60</v>
      </c>
      <c r="K41" s="8" t="s">
        <v>61</v>
      </c>
      <c r="L41" s="9"/>
      <c r="M41" s="9"/>
      <c r="N41" s="9"/>
      <c r="O41" s="7"/>
    </row>
    <row r="42" ht="20" customHeight="1">
      <c r="A42" s="7">
        <v>41</v>
      </c>
      <c r="B42" s="7" t="s">
        <v>29</v>
      </c>
      <c r="C42" s="7" t="s">
        <v>227</v>
      </c>
      <c r="D42" s="7" t="s">
        <v>228</v>
      </c>
      <c r="E42" s="7" t="s">
        <v>229</v>
      </c>
      <c r="F42" s="7" t="s">
        <v>230</v>
      </c>
      <c r="G42" s="7" t="s">
        <v>231</v>
      </c>
      <c r="H42" s="8" t="s">
        <v>59</v>
      </c>
      <c r="I42" s="8">
        <v>2</v>
      </c>
      <c r="J42" s="8" t="s">
        <v>60</v>
      </c>
      <c r="K42" s="8" t="s">
        <v>61</v>
      </c>
      <c r="L42" s="9"/>
      <c r="M42" s="9"/>
      <c r="N42" s="9"/>
      <c r="O42" s="7"/>
    </row>
    <row r="43" ht="52.75" customHeight="1">
      <c r="A43" s="7">
        <v>42</v>
      </c>
      <c r="B43" s="7" t="s">
        <v>30</v>
      </c>
      <c r="C43" s="7" t="s">
        <v>232</v>
      </c>
      <c r="D43" s="7" t="s">
        <v>233</v>
      </c>
      <c r="E43" s="7" t="s">
        <v>234</v>
      </c>
      <c r="F43" s="7" t="s">
        <v>235</v>
      </c>
      <c r="G43" s="7" t="s">
        <v>236</v>
      </c>
      <c r="H43" s="8" t="s">
        <v>59</v>
      </c>
      <c r="I43" s="8">
        <v>2</v>
      </c>
      <c r="J43" s="8" t="s">
        <v>60</v>
      </c>
      <c r="K43" s="8" t="s">
        <v>61</v>
      </c>
      <c r="L43" s="9"/>
      <c r="M43" s="9"/>
      <c r="N43" s="9"/>
      <c r="O43" s="7"/>
    </row>
    <row r="44" ht="35.25" customHeight="1">
      <c r="A44" s="7">
        <v>43</v>
      </c>
      <c r="B44" s="7" t="s">
        <v>30</v>
      </c>
      <c r="C44" s="7" t="s">
        <v>237</v>
      </c>
      <c r="D44" s="7" t="s">
        <v>238</v>
      </c>
      <c r="E44" s="7" t="s">
        <v>239</v>
      </c>
      <c r="F44" s="7" t="s">
        <v>121</v>
      </c>
      <c r="G44" s="7" t="s">
        <v>240</v>
      </c>
      <c r="H44" s="8" t="s">
        <v>59</v>
      </c>
      <c r="I44" s="8">
        <v>2</v>
      </c>
      <c r="J44" s="8" t="s">
        <v>60</v>
      </c>
      <c r="K44" s="8" t="s">
        <v>61</v>
      </c>
      <c r="L44" s="9"/>
      <c r="M44" s="9"/>
      <c r="N44" s="9"/>
      <c r="O44" s="7"/>
    </row>
    <row r="45" ht="35.25" customHeight="1">
      <c r="A45" s="7">
        <v>44</v>
      </c>
      <c r="B45" s="7" t="s">
        <v>30</v>
      </c>
      <c r="C45" s="7" t="s">
        <v>241</v>
      </c>
      <c r="D45" s="7" t="s">
        <v>242</v>
      </c>
      <c r="E45" s="7" t="s">
        <v>243</v>
      </c>
      <c r="F45" s="7" t="s">
        <v>244</v>
      </c>
      <c r="G45" s="7" t="s">
        <v>245</v>
      </c>
      <c r="H45" s="8" t="s">
        <v>59</v>
      </c>
      <c r="I45" s="8">
        <v>2</v>
      </c>
      <c r="J45" s="8" t="s">
        <v>60</v>
      </c>
      <c r="K45" s="8" t="s">
        <v>61</v>
      </c>
      <c r="L45" s="9"/>
      <c r="M45" s="9"/>
      <c r="N45" s="9"/>
      <c r="O45" s="7"/>
    </row>
    <row r="46" ht="35.25" customHeight="1">
      <c r="A46" s="7">
        <v>45</v>
      </c>
      <c r="B46" s="7" t="s">
        <v>30</v>
      </c>
      <c r="C46" s="7" t="s">
        <v>246</v>
      </c>
      <c r="D46" s="7" t="s">
        <v>247</v>
      </c>
      <c r="E46" s="7" t="s">
        <v>248</v>
      </c>
      <c r="F46" s="7" t="s">
        <v>249</v>
      </c>
      <c r="G46" s="7" t="s">
        <v>250</v>
      </c>
      <c r="H46" s="8" t="s">
        <v>59</v>
      </c>
      <c r="I46" s="8">
        <v>2</v>
      </c>
      <c r="J46" s="8" t="s">
        <v>60</v>
      </c>
      <c r="K46" s="8" t="s">
        <v>61</v>
      </c>
      <c r="L46" s="9"/>
      <c r="M46" s="9"/>
      <c r="N46" s="9"/>
      <c r="O46" s="7"/>
    </row>
    <row r="47" ht="20" customHeight="1">
      <c r="A47" s="7">
        <v>46</v>
      </c>
      <c r="B47" s="7" t="s">
        <v>30</v>
      </c>
      <c r="C47" s="7" t="s">
        <v>246</v>
      </c>
      <c r="D47" s="7" t="s">
        <v>251</v>
      </c>
      <c r="E47" s="7" t="s">
        <v>252</v>
      </c>
      <c r="F47" s="7" t="s">
        <v>253</v>
      </c>
      <c r="G47" s="7" t="s">
        <v>254</v>
      </c>
      <c r="H47" s="8" t="s">
        <v>59</v>
      </c>
      <c r="I47" s="8">
        <v>2</v>
      </c>
      <c r="J47" s="8" t="s">
        <v>60</v>
      </c>
      <c r="K47" s="8" t="s">
        <v>61</v>
      </c>
      <c r="L47" s="9"/>
      <c r="M47" s="9"/>
      <c r="N47" s="9"/>
      <c r="O47" s="7"/>
    </row>
    <row r="48" ht="35.25" customHeight="1">
      <c r="A48" s="7">
        <v>47</v>
      </c>
      <c r="B48" s="7" t="s">
        <v>30</v>
      </c>
      <c r="C48" s="7" t="s">
        <v>255</v>
      </c>
      <c r="D48" s="7" t="s">
        <v>256</v>
      </c>
      <c r="E48" s="7" t="s">
        <v>257</v>
      </c>
      <c r="F48" s="7" t="s">
        <v>258</v>
      </c>
      <c r="G48" s="7" t="s">
        <v>259</v>
      </c>
      <c r="H48" s="8" t="s">
        <v>59</v>
      </c>
      <c r="I48" s="8">
        <v>2</v>
      </c>
      <c r="J48" s="8" t="s">
        <v>60</v>
      </c>
      <c r="K48" s="8" t="s">
        <v>61</v>
      </c>
      <c r="L48" s="9"/>
      <c r="M48" s="9"/>
      <c r="N48" s="9"/>
      <c r="O48" s="7"/>
    </row>
    <row r="49" ht="20" customHeight="1">
      <c r="A49" s="7">
        <v>48</v>
      </c>
      <c r="B49" s="7" t="s">
        <v>30</v>
      </c>
      <c r="C49" s="7" t="s">
        <v>255</v>
      </c>
      <c r="D49" s="7" t="s">
        <v>260</v>
      </c>
      <c r="E49" s="7" t="s">
        <v>261</v>
      </c>
      <c r="F49" s="7" t="s">
        <v>258</v>
      </c>
      <c r="G49" s="7" t="s">
        <v>262</v>
      </c>
      <c r="H49" s="8" t="s">
        <v>59</v>
      </c>
      <c r="I49" s="8">
        <v>2</v>
      </c>
      <c r="J49" s="8" t="s">
        <v>60</v>
      </c>
      <c r="K49" s="8" t="s">
        <v>61</v>
      </c>
      <c r="L49" s="9"/>
      <c r="M49" s="9"/>
      <c r="N49" s="9"/>
      <c r="O49" s="7"/>
    </row>
    <row r="50" ht="35.25" customHeight="1">
      <c r="A50" s="7">
        <v>49</v>
      </c>
      <c r="B50" s="7" t="s">
        <v>30</v>
      </c>
      <c r="C50" s="7" t="s">
        <v>263</v>
      </c>
      <c r="D50" s="7" t="s">
        <v>264</v>
      </c>
      <c r="E50" s="7" t="s">
        <v>265</v>
      </c>
      <c r="F50" s="7" t="s">
        <v>266</v>
      </c>
      <c r="G50" s="7" t="s">
        <v>267</v>
      </c>
      <c r="H50" s="8" t="s">
        <v>59</v>
      </c>
      <c r="I50" s="8">
        <v>2</v>
      </c>
      <c r="J50" s="8" t="s">
        <v>60</v>
      </c>
      <c r="K50" s="8" t="s">
        <v>61</v>
      </c>
      <c r="L50" s="9"/>
      <c r="M50" s="9"/>
      <c r="N50" s="9"/>
      <c r="O50" s="7"/>
    </row>
    <row r="51" ht="35.25" customHeight="1">
      <c r="A51" s="7">
        <v>50</v>
      </c>
      <c r="B51" s="7" t="s">
        <v>30</v>
      </c>
      <c r="C51" s="7" t="s">
        <v>268</v>
      </c>
      <c r="D51" s="7" t="s">
        <v>269</v>
      </c>
      <c r="E51" s="7" t="s">
        <v>270</v>
      </c>
      <c r="F51" s="7" t="s">
        <v>271</v>
      </c>
      <c r="G51" s="7" t="s">
        <v>272</v>
      </c>
      <c r="H51" s="8" t="s">
        <v>59</v>
      </c>
      <c r="I51" s="8">
        <v>2</v>
      </c>
      <c r="J51" s="8" t="s">
        <v>60</v>
      </c>
      <c r="K51" s="8" t="s">
        <v>61</v>
      </c>
      <c r="L51" s="9"/>
      <c r="M51" s="9"/>
      <c r="N51" s="9"/>
      <c r="O51" s="7"/>
    </row>
    <row r="52" ht="20" customHeight="1">
      <c r="A52" s="7">
        <v>51</v>
      </c>
      <c r="B52" s="7" t="s">
        <v>30</v>
      </c>
      <c r="C52" s="7" t="s">
        <v>273</v>
      </c>
      <c r="D52" s="7" t="s">
        <v>274</v>
      </c>
      <c r="E52" s="7" t="s">
        <v>275</v>
      </c>
      <c r="F52" s="7" t="s">
        <v>276</v>
      </c>
      <c r="G52" s="7" t="s">
        <v>277</v>
      </c>
      <c r="H52" s="8" t="s">
        <v>59</v>
      </c>
      <c r="I52" s="8">
        <v>2</v>
      </c>
      <c r="J52" s="8" t="s">
        <v>60</v>
      </c>
      <c r="K52" s="8" t="s">
        <v>61</v>
      </c>
      <c r="L52" s="9"/>
      <c r="M52" s="9"/>
      <c r="N52" s="9"/>
      <c r="O52" s="7"/>
    </row>
    <row r="53" ht="20" customHeight="1">
      <c r="A53" s="7">
        <v>52</v>
      </c>
      <c r="B53" s="7" t="s">
        <v>30</v>
      </c>
      <c r="C53" s="7" t="s">
        <v>278</v>
      </c>
      <c r="D53" s="7" t="s">
        <v>279</v>
      </c>
      <c r="E53" s="7" t="s">
        <v>280</v>
      </c>
      <c r="F53" s="7" t="s">
        <v>281</v>
      </c>
      <c r="G53" s="7" t="s">
        <v>282</v>
      </c>
      <c r="H53" s="8" t="s">
        <v>59</v>
      </c>
      <c r="I53" s="8">
        <v>2</v>
      </c>
      <c r="J53" s="8" t="s">
        <v>60</v>
      </c>
      <c r="K53" s="8" t="s">
        <v>61</v>
      </c>
      <c r="L53" s="9"/>
      <c r="M53" s="9"/>
      <c r="N53" s="9"/>
      <c r="O53" s="7"/>
    </row>
    <row r="54" ht="20" customHeight="1">
      <c r="A54" s="7">
        <v>53</v>
      </c>
      <c r="B54" s="7" t="s">
        <v>30</v>
      </c>
      <c r="C54" s="7" t="s">
        <v>283</v>
      </c>
      <c r="D54" s="7" t="s">
        <v>284</v>
      </c>
      <c r="E54" s="7" t="s">
        <v>285</v>
      </c>
      <c r="F54" s="7" t="s">
        <v>286</v>
      </c>
      <c r="G54" s="7" t="s">
        <v>287</v>
      </c>
      <c r="H54" s="8" t="s">
        <v>59</v>
      </c>
      <c r="I54" s="8">
        <v>2</v>
      </c>
      <c r="J54" s="8" t="s">
        <v>81</v>
      </c>
      <c r="K54" s="8" t="s">
        <v>192</v>
      </c>
      <c r="L54" s="9"/>
      <c r="M54" s="9"/>
      <c r="N54" s="9"/>
      <c r="O54" s="7"/>
    </row>
    <row r="55" ht="35.25" customHeight="1">
      <c r="A55" s="7">
        <v>54</v>
      </c>
      <c r="B55" s="7" t="s">
        <v>31</v>
      </c>
      <c r="C55" s="7" t="s">
        <v>232</v>
      </c>
      <c r="D55" s="7" t="str">
        <v>创建商家窗口/分类/菜品/菜单/库存实体和 Mapper</v>
      </c>
      <c r="E55" s="7" t="s">
        <v>288</v>
      </c>
      <c r="F55" s="7" t="s">
        <v>289</v>
      </c>
      <c r="G55" s="7" t="s">
        <v>290</v>
      </c>
      <c r="H55" s="8" t="s">
        <v>59</v>
      </c>
      <c r="I55" s="8">
        <v>2</v>
      </c>
      <c r="J55" s="8" t="str">
        <v>☑</v>
      </c>
      <c r="K55" s="8" t="str">
        <v>已完成</v>
      </c>
      <c r="L55" s="9"/>
      <c r="M55" s="9"/>
      <c r="N55" s="9"/>
      <c r="O55" s="7"/>
    </row>
    <row r="56" ht="35.25" customHeight="1">
      <c r="A56" s="7">
        <v>55</v>
      </c>
      <c r="B56" s="7" t="s">
        <v>31</v>
      </c>
      <c r="C56" s="7" t="s">
        <v>41</v>
      </c>
      <c r="D56" s="7" t="str">
        <v>实现菜品分类管理</v>
      </c>
      <c r="E56" s="7" t="s">
        <v>291</v>
      </c>
      <c r="F56" s="7" t="s">
        <v>292</v>
      </c>
      <c r="G56" s="7" t="s">
        <v>293</v>
      </c>
      <c r="H56" s="8" t="s">
        <v>59</v>
      </c>
      <c r="I56" s="8">
        <v>2</v>
      </c>
      <c r="J56" s="8" t="str">
        <v>☑</v>
      </c>
      <c r="K56" s="8" t="str">
        <v>已完成</v>
      </c>
      <c r="L56" s="9"/>
      <c r="M56" s="9"/>
      <c r="N56" s="9"/>
      <c r="O56" s="7"/>
    </row>
    <row r="57" ht="35.25" customHeight="1">
      <c r="A57" s="7">
        <v>56</v>
      </c>
      <c r="B57" s="7" t="s">
        <v>31</v>
      </c>
      <c r="C57" s="7" t="s">
        <v>294</v>
      </c>
      <c r="D57" s="7" t="s">
        <v>295</v>
      </c>
      <c r="E57" s="7" t="s">
        <v>296</v>
      </c>
      <c r="F57" s="7" t="s">
        <v>297</v>
      </c>
      <c r="G57" s="7" t="s">
        <v>298</v>
      </c>
      <c r="H57" s="8" t="s">
        <v>59</v>
      </c>
      <c r="I57" s="8">
        <v>2</v>
      </c>
      <c r="J57" s="8" t="str">
        <v>☑</v>
      </c>
      <c r="K57" s="8" t="str">
        <v>已完成</v>
      </c>
      <c r="L57" s="9"/>
      <c r="M57" s="9"/>
      <c r="N57" s="9"/>
      <c r="O57" s="7"/>
    </row>
    <row r="58" ht="20" customHeight="1">
      <c r="A58" s="7">
        <v>57</v>
      </c>
      <c r="B58" s="7" t="s">
        <v>31</v>
      </c>
      <c r="C58" s="7" t="s">
        <v>299</v>
      </c>
      <c r="D58" s="7" t="s">
        <v>300</v>
      </c>
      <c r="E58" s="7" t="s">
        <v>301</v>
      </c>
      <c r="F58" s="7" t="s">
        <v>302</v>
      </c>
      <c r="G58" s="7" t="s">
        <v>303</v>
      </c>
      <c r="H58" s="8" t="s">
        <v>59</v>
      </c>
      <c r="I58" s="8">
        <v>2</v>
      </c>
      <c r="J58" s="8" t="str">
        <v>☑</v>
      </c>
      <c r="K58" s="8" t="str">
        <v>已完成</v>
      </c>
      <c r="L58" s="9"/>
      <c r="M58" s="9"/>
      <c r="N58" s="9"/>
      <c r="O58" s="7"/>
    </row>
    <row r="59" ht="20" customHeight="1">
      <c r="A59" s="7">
        <v>58</v>
      </c>
      <c r="B59" s="7" t="s">
        <v>31</v>
      </c>
      <c r="C59" s="7" t="s">
        <v>304</v>
      </c>
      <c r="D59" s="7" t="s">
        <v>305</v>
      </c>
      <c r="E59" s="7" t="str">
        <v>按商家窗口、售卖时段保存每日菜单配置和库存</v>
      </c>
      <c r="F59" s="7" t="str">
        <v>菜品/商家窗口</v>
      </c>
      <c r="G59" s="7" t="s">
        <v>306</v>
      </c>
      <c r="H59" s="8" t="s">
        <v>59</v>
      </c>
      <c r="I59" s="8">
        <v>2</v>
      </c>
      <c r="J59" s="8" t="str">
        <v>☑</v>
      </c>
      <c r="K59" s="8" t="str">
        <v>已完成</v>
      </c>
      <c r="L59" s="9"/>
      <c r="M59" s="9"/>
      <c r="N59" s="9"/>
      <c r="O59" s="7"/>
    </row>
    <row r="60" ht="20" customHeight="1">
      <c r="A60" s="7">
        <v>59</v>
      </c>
      <c r="B60" s="7" t="s">
        <v>31</v>
      </c>
      <c r="C60" s="7" t="s">
        <v>304</v>
      </c>
      <c r="D60" s="7" t="s">
        <v>307</v>
      </c>
      <c r="E60" s="7" t="str">
        <v>调整每日库存、上下架、预警阈值</v>
      </c>
      <c r="F60" s="7" t="s">
        <v>304</v>
      </c>
      <c r="G60" s="7" t="s">
        <v>308</v>
      </c>
      <c r="H60" s="8" t="s">
        <v>59</v>
      </c>
      <c r="I60" s="8">
        <v>2</v>
      </c>
      <c r="J60" s="8" t="str">
        <v>☑</v>
      </c>
      <c r="K60" s="8" t="str">
        <v>已完成</v>
      </c>
      <c r="L60" s="9"/>
      <c r="M60" s="9"/>
      <c r="N60" s="9"/>
      <c r="O60" s="7"/>
    </row>
    <row r="61" ht="35.25" customHeight="1">
      <c r="A61" s="7">
        <v>60</v>
      </c>
      <c r="B61" s="7" t="s">
        <v>31</v>
      </c>
      <c r="C61" s="7" t="s">
        <v>309</v>
      </c>
      <c r="D61" s="7" t="s">
        <v>310</v>
      </c>
      <c r="E61" s="7" t="str">
        <v>GET /api/menu/available；按时段、上架、库存过滤</v>
      </c>
      <c r="F61" s="7" t="s">
        <v>304</v>
      </c>
      <c r="G61" s="7" t="s">
        <v>311</v>
      </c>
      <c r="H61" s="8" t="s">
        <v>59</v>
      </c>
      <c r="I61" s="8">
        <v>2</v>
      </c>
      <c r="J61" s="8" t="str">
        <v>☑</v>
      </c>
      <c r="K61" s="8" t="str">
        <v>已完成</v>
      </c>
      <c r="L61" s="9"/>
      <c r="M61" s="9"/>
      <c r="N61" s="9"/>
      <c r="O61" s="7"/>
    </row>
    <row r="62" ht="35.25" customHeight="1">
      <c r="A62" s="7">
        <v>61</v>
      </c>
      <c r="B62" s="7" t="s">
        <v>31</v>
      </c>
      <c r="C62" s="7" t="s">
        <v>312</v>
      </c>
      <c r="D62" s="7" t="s">
        <v>313</v>
      </c>
      <c r="E62" s="7" t="s">
        <v>314</v>
      </c>
      <c r="F62" s="7" t="s">
        <v>315</v>
      </c>
      <c r="G62" s="7" t="s">
        <v>316</v>
      </c>
      <c r="H62" s="8" t="s">
        <v>59</v>
      </c>
      <c r="I62" s="8">
        <v>2</v>
      </c>
      <c r="J62" s="8" t="str">
        <v>☑</v>
      </c>
      <c r="K62" s="8" t="str">
        <v>已完成</v>
      </c>
      <c r="L62" s="9"/>
      <c r="M62" s="9"/>
      <c r="N62" s="9"/>
      <c r="O62" s="7"/>
    </row>
    <row r="63" ht="20" customHeight="1">
      <c r="A63" s="7">
        <v>62</v>
      </c>
      <c r="B63" s="7" t="s">
        <v>31</v>
      </c>
      <c r="C63" s="7" t="s">
        <v>312</v>
      </c>
      <c r="D63" s="7" t="s">
        <v>317</v>
      </c>
      <c r="E63" s="7" t="s">
        <v>318</v>
      </c>
      <c r="F63" s="7" t="s">
        <v>319</v>
      </c>
      <c r="G63" s="7" t="s">
        <v>320</v>
      </c>
      <c r="H63" s="8" t="s">
        <v>59</v>
      </c>
      <c r="I63" s="8">
        <v>2</v>
      </c>
      <c r="J63" s="8" t="str">
        <v>☑</v>
      </c>
      <c r="K63" s="8" t="str">
        <v>已完成</v>
      </c>
      <c r="L63" s="9"/>
      <c r="M63" s="9"/>
      <c r="N63" s="9"/>
      <c r="O63" s="7"/>
    </row>
    <row r="64" ht="35.25" customHeight="1">
      <c r="A64" s="7">
        <v>63</v>
      </c>
      <c r="B64" s="7" t="s">
        <v>31</v>
      </c>
      <c r="C64" s="7" t="s">
        <v>312</v>
      </c>
      <c r="D64" s="7" t="s">
        <v>321</v>
      </c>
      <c r="E64" s="7" t="s">
        <v>322</v>
      </c>
      <c r="F64" s="7" t="s">
        <v>323</v>
      </c>
      <c r="G64" s="7" t="s">
        <v>324</v>
      </c>
      <c r="H64" s="8" t="s">
        <v>59</v>
      </c>
      <c r="I64" s="8">
        <v>2</v>
      </c>
      <c r="J64" s="8" t="str">
        <v>☑</v>
      </c>
      <c r="K64" s="8" t="str">
        <v>已完成</v>
      </c>
      <c r="L64" s="9"/>
      <c r="M64" s="9"/>
      <c r="N64" s="9"/>
      <c r="O64" s="7"/>
    </row>
    <row r="65" ht="20" customHeight="1">
      <c r="A65" s="7">
        <v>64</v>
      </c>
      <c r="B65" s="7" t="s">
        <v>31</v>
      </c>
      <c r="C65" s="7" t="s">
        <v>325</v>
      </c>
      <c r="D65" s="7" t="s">
        <v>326</v>
      </c>
      <c r="E65" s="7" t="s">
        <v>327</v>
      </c>
      <c r="F65" s="7" t="s">
        <v>328</v>
      </c>
      <c r="G65" s="7" t="s">
        <v>329</v>
      </c>
      <c r="H65" s="8" t="s">
        <v>59</v>
      </c>
      <c r="I65" s="8">
        <v>2</v>
      </c>
      <c r="J65" s="8" t="str">
        <v>☑</v>
      </c>
      <c r="K65" s="8" t="str">
        <v>已完成</v>
      </c>
      <c r="L65" s="9"/>
      <c r="M65" s="9"/>
      <c r="N65" s="9"/>
      <c r="O65" s="7"/>
    </row>
    <row r="66" ht="20" customHeight="1">
      <c r="A66" s="7">
        <v>65</v>
      </c>
      <c r="B66" s="7" t="s">
        <v>31</v>
      </c>
      <c r="C66" s="7" t="s">
        <v>273</v>
      </c>
      <c r="D66" s="7" t="str">
        <v>实现商家窗口管理</v>
      </c>
      <c r="E66" s="7" t="str">
        <v>管理员新增商家窗口、修改状态</v>
      </c>
      <c r="F66" s="7" t="s">
        <v>330</v>
      </c>
      <c r="G66" s="7" t="str">
        <v>商家窗口可维护</v>
      </c>
      <c r="H66" s="8" t="s">
        <v>59</v>
      </c>
      <c r="I66" s="8">
        <v>2</v>
      </c>
      <c r="J66" s="8" t="str">
        <v>☑</v>
      </c>
      <c r="K66" s="8" t="str">
        <v>已完成</v>
      </c>
      <c r="L66" s="9"/>
      <c r="M66" s="9"/>
      <c r="N66" s="9"/>
      <c r="O66" s="7"/>
    </row>
    <row r="67" ht="20" customHeight="1">
      <c r="A67" s="7">
        <v>66</v>
      </c>
      <c r="B67" s="7" t="s">
        <v>31</v>
      </c>
      <c r="C67" s="7" t="s">
        <v>331</v>
      </c>
      <c r="D67" s="7" t="s">
        <v>332</v>
      </c>
      <c r="E67" s="7" t="s">
        <v>333</v>
      </c>
      <c r="F67" s="7" t="s">
        <v>334</v>
      </c>
      <c r="G67" s="7" t="s">
        <v>335</v>
      </c>
      <c r="H67" s="8" t="s">
        <v>59</v>
      </c>
      <c r="I67" s="8">
        <v>2</v>
      </c>
      <c r="J67" s="8" t="str">
        <v>☑</v>
      </c>
      <c r="K67" s="8" t="str">
        <v>已完成</v>
      </c>
      <c r="L67" s="9"/>
      <c r="M67" s="9"/>
      <c r="N67" s="9"/>
      <c r="O67" s="7"/>
    </row>
    <row r="68" ht="20" customHeight="1">
      <c r="A68" s="7">
        <v>67</v>
      </c>
      <c r="B68" s="7" t="s">
        <v>31</v>
      </c>
      <c r="C68" s="7" t="s">
        <v>283</v>
      </c>
      <c r="D68" s="7" t="s">
        <v>336</v>
      </c>
      <c r="E68" s="7" t="s">
        <v>337</v>
      </c>
      <c r="F68" s="7" t="s">
        <v>286</v>
      </c>
      <c r="G68" s="7" t="s">
        <v>287</v>
      </c>
      <c r="H68" s="8" t="s">
        <v>59</v>
      </c>
      <c r="I68" s="8">
        <v>2</v>
      </c>
      <c r="J68" s="8" t="str">
        <v>☑</v>
      </c>
      <c r="K68" s="8" t="str">
        <v>已完成</v>
      </c>
      <c r="L68" s="9"/>
      <c r="M68" s="9"/>
      <c r="N68" s="9"/>
      <c r="O68" s="7"/>
    </row>
    <row r="69" ht="35.25" customHeight="1">
      <c r="A69" s="7">
        <v>68</v>
      </c>
      <c r="B69" s="7" t="s">
        <v>32</v>
      </c>
      <c r="C69" s="7" t="s">
        <v>232</v>
      </c>
      <c r="D69" s="7" t="s">
        <v>338</v>
      </c>
      <c r="E69" s="7" t="s">
        <v>339</v>
      </c>
      <c r="F69" s="7" t="s">
        <v>340</v>
      </c>
      <c r="G69" s="7" t="s">
        <v>341</v>
      </c>
      <c r="H69" s="8" t="s">
        <v>59</v>
      </c>
      <c r="I69" s="8">
        <v>2</v>
      </c>
      <c r="J69" s="8" t="str">
        <v>☑</v>
      </c>
      <c r="K69" s="8" t="str">
        <v>已完成</v>
      </c>
      <c r="L69" s="9"/>
      <c r="M69" s="9"/>
      <c r="N69" s="9"/>
      <c r="O69" s="7"/>
    </row>
    <row r="70" ht="35.25" customHeight="1">
      <c r="A70" s="7">
        <v>69</v>
      </c>
      <c r="B70" s="7" t="s">
        <v>32</v>
      </c>
      <c r="C70" s="7" t="s">
        <v>342</v>
      </c>
      <c r="D70" s="7" t="s">
        <v>343</v>
      </c>
      <c r="E70" s="7" t="s">
        <v>344</v>
      </c>
      <c r="F70" s="7" t="s">
        <v>345</v>
      </c>
      <c r="G70" s="7" t="s">
        <v>346</v>
      </c>
      <c r="H70" s="8" t="s">
        <v>59</v>
      </c>
      <c r="I70" s="8">
        <v>2</v>
      </c>
      <c r="J70" s="8" t="str">
        <v>☑</v>
      </c>
      <c r="K70" s="8" t="str">
        <v>已完成</v>
      </c>
      <c r="L70" s="9"/>
      <c r="M70" s="9"/>
      <c r="N70" s="9"/>
      <c r="O70" s="7"/>
    </row>
    <row r="71" ht="52.75" customHeight="1">
      <c r="A71" s="7">
        <v>70</v>
      </c>
      <c r="B71" s="7" t="s">
        <v>32</v>
      </c>
      <c r="C71" s="7" t="s">
        <v>347</v>
      </c>
      <c r="D71" s="7" t="s">
        <v>348</v>
      </c>
      <c r="E71" s="7" t="s">
        <v>349</v>
      </c>
      <c r="F71" s="7" t="s">
        <v>350</v>
      </c>
      <c r="G71" s="7" t="s">
        <v>351</v>
      </c>
      <c r="H71" s="8" t="s">
        <v>59</v>
      </c>
      <c r="I71" s="8">
        <v>2</v>
      </c>
      <c r="J71" s="8" t="str">
        <v>☑</v>
      </c>
      <c r="K71" s="8" t="str">
        <v>已完成</v>
      </c>
      <c r="L71" s="9"/>
      <c r="M71" s="9"/>
      <c r="N71" s="9"/>
      <c r="O71" s="7"/>
    </row>
    <row r="72" ht="20" customHeight="1">
      <c r="A72" s="7">
        <v>71</v>
      </c>
      <c r="B72" s="7" t="s">
        <v>32</v>
      </c>
      <c r="C72" s="7" t="s">
        <v>352</v>
      </c>
      <c r="D72" s="7" t="s">
        <v>353</v>
      </c>
      <c r="E72" s="7" t="s">
        <v>354</v>
      </c>
      <c r="F72" s="7" t="s">
        <v>347</v>
      </c>
      <c r="G72" s="7" t="s">
        <v>355</v>
      </c>
      <c r="H72" s="8" t="s">
        <v>59</v>
      </c>
      <c r="I72" s="8">
        <v>2</v>
      </c>
      <c r="J72" s="8" t="str">
        <v>☑</v>
      </c>
      <c r="K72" s="8" t="str">
        <v>已完成</v>
      </c>
      <c r="L72" s="9"/>
      <c r="M72" s="9"/>
      <c r="N72" s="9"/>
      <c r="O72" s="7"/>
    </row>
    <row r="73" ht="20" customHeight="1">
      <c r="A73" s="7">
        <v>72</v>
      </c>
      <c r="B73" s="7" t="s">
        <v>32</v>
      </c>
      <c r="C73" s="7" t="s">
        <v>356</v>
      </c>
      <c r="D73" s="7" t="s">
        <v>357</v>
      </c>
      <c r="E73" s="7" t="s">
        <v>358</v>
      </c>
      <c r="F73" s="7" t="s">
        <v>359</v>
      </c>
      <c r="G73" s="7" t="s">
        <v>360</v>
      </c>
      <c r="H73" s="8" t="s">
        <v>59</v>
      </c>
      <c r="I73" s="8">
        <v>2</v>
      </c>
      <c r="J73" s="8" t="str">
        <v>☑</v>
      </c>
      <c r="K73" s="8" t="str">
        <v>已完成</v>
      </c>
      <c r="L73" s="9"/>
      <c r="M73" s="9"/>
      <c r="N73" s="9"/>
      <c r="O73" s="7"/>
    </row>
    <row r="74" ht="35.25" customHeight="1">
      <c r="A74" s="7">
        <v>73</v>
      </c>
      <c r="B74" s="7" t="s">
        <v>32</v>
      </c>
      <c r="C74" s="7" t="s">
        <v>361</v>
      </c>
      <c r="D74" s="7" t="s">
        <v>362</v>
      </c>
      <c r="E74" s="7" t="str">
        <v>GET /api/pickup/preparing/{merchantId} 和 waiting；优先 Redis，缺失查 DB</v>
      </c>
      <c r="F74" s="7" t="s">
        <v>363</v>
      </c>
      <c r="G74" s="7" t="s">
        <v>364</v>
      </c>
      <c r="H74" s="8" t="s">
        <v>59</v>
      </c>
      <c r="I74" s="8">
        <v>2</v>
      </c>
      <c r="J74" s="8" t="str">
        <v>☑</v>
      </c>
      <c r="K74" s="8" t="str">
        <v>已完成</v>
      </c>
      <c r="L74" s="9"/>
      <c r="M74" s="9"/>
      <c r="N74" s="9"/>
      <c r="O74" s="7"/>
    </row>
    <row r="75" ht="52.75" customHeight="1">
      <c r="A75" s="7">
        <v>74</v>
      </c>
      <c r="B75" s="7" t="s">
        <v>32</v>
      </c>
      <c r="C75" s="7" t="s">
        <v>365</v>
      </c>
      <c r="D75" s="7" t="s">
        <v>366</v>
      </c>
      <c r="E75" s="7" t="str">
        <v>GET /api/pickup/snapshot/{merchantId}；返回两类队列和近期叫号</v>
      </c>
      <c r="F75" s="7" t="s">
        <v>367</v>
      </c>
      <c r="G75" s="7" t="s">
        <v>368</v>
      </c>
      <c r="H75" s="8" t="s">
        <v>59</v>
      </c>
      <c r="I75" s="8">
        <v>2</v>
      </c>
      <c r="J75" s="8" t="str">
        <v>☑</v>
      </c>
      <c r="K75" s="8" t="str">
        <v>已完成</v>
      </c>
      <c r="L75" s="9"/>
      <c r="M75" s="9"/>
      <c r="N75" s="9"/>
      <c r="O75" s="7"/>
    </row>
    <row r="76" ht="52.75" customHeight="1">
      <c r="A76" s="7">
        <v>75</v>
      </c>
      <c r="B76" s="7" t="s">
        <v>32</v>
      </c>
      <c r="C76" s="7" t="s">
        <v>369</v>
      </c>
      <c r="D76" s="7" t="s">
        <v>370</v>
      </c>
      <c r="E76" s="7" t="s">
        <v>371</v>
      </c>
      <c r="F76" s="7" t="s">
        <v>372</v>
      </c>
      <c r="G76" s="7" t="s">
        <v>373</v>
      </c>
      <c r="H76" s="8" t="s">
        <v>59</v>
      </c>
      <c r="I76" s="8">
        <v>2</v>
      </c>
      <c r="J76" s="8" t="str">
        <v>☑</v>
      </c>
      <c r="K76" s="8" t="str">
        <v>已完成</v>
      </c>
      <c r="L76" s="9"/>
      <c r="M76" s="9"/>
      <c r="N76" s="9"/>
      <c r="O76" s="7"/>
    </row>
    <row r="77" ht="20" customHeight="1">
      <c r="A77" s="7">
        <v>76</v>
      </c>
      <c r="B77" s="7" t="s">
        <v>32</v>
      </c>
      <c r="C77" s="7" t="s">
        <v>374</v>
      </c>
      <c r="D77" s="7" t="s">
        <v>375</v>
      </c>
      <c r="E77" s="7" t="s">
        <v>376</v>
      </c>
      <c r="F77" s="7" t="s">
        <v>352</v>
      </c>
      <c r="G77" s="7" t="s">
        <v>377</v>
      </c>
      <c r="H77" s="8" t="s">
        <v>59</v>
      </c>
      <c r="I77" s="8">
        <v>2</v>
      </c>
      <c r="J77" s="8" t="str">
        <v>☑</v>
      </c>
      <c r="K77" s="8" t="str">
        <v>已完成</v>
      </c>
      <c r="L77" s="9"/>
      <c r="M77" s="9"/>
      <c r="N77" s="9"/>
      <c r="O77" s="7"/>
    </row>
    <row r="78" ht="52.75" customHeight="1">
      <c r="A78" s="7">
        <v>77</v>
      </c>
      <c r="B78" s="7" t="s">
        <v>32</v>
      </c>
      <c r="C78" s="7" t="s">
        <v>378</v>
      </c>
      <c r="D78" s="7" t="s">
        <v>379</v>
      </c>
      <c r="E78" s="7" t="str">
        <v>POST /api/pickup/verify；支持扫码和手动码；校验商家窗口归属/状态/是否已核销</v>
      </c>
      <c r="F78" s="7" t="s">
        <v>380</v>
      </c>
      <c r="G78" s="7" t="s">
        <v>381</v>
      </c>
      <c r="H78" s="8" t="s">
        <v>59</v>
      </c>
      <c r="I78" s="8">
        <v>2</v>
      </c>
      <c r="J78" s="8" t="str">
        <v>☑</v>
      </c>
      <c r="K78" s="8" t="str">
        <v>已完成</v>
      </c>
      <c r="L78" s="9"/>
      <c r="M78" s="9"/>
      <c r="N78" s="9"/>
      <c r="O78" s="7"/>
    </row>
    <row r="79" ht="35.25" customHeight="1">
      <c r="A79" s="7">
        <v>78</v>
      </c>
      <c r="B79" s="7" t="s">
        <v>32</v>
      </c>
      <c r="C79" s="7" t="s">
        <v>382</v>
      </c>
      <c r="D79" s="7" t="s">
        <v>383</v>
      </c>
      <c r="E79" s="7" t="str">
        <v>/ws/screen/{merchantId}；推送 PREPARING_UPDATE、WAITING_UPDATE、CALL_NOTIFY</v>
      </c>
      <c r="F79" s="7" t="s">
        <v>384</v>
      </c>
      <c r="G79" s="7" t="s">
        <v>385</v>
      </c>
      <c r="H79" s="8" t="s">
        <v>59</v>
      </c>
      <c r="I79" s="8">
        <v>2</v>
      </c>
      <c r="J79" s="8" t="str">
        <v>☑</v>
      </c>
      <c r="K79" s="8" t="str">
        <v>已完成</v>
      </c>
      <c r="L79" s="9"/>
      <c r="M79" s="9"/>
      <c r="N79" s="9"/>
      <c r="O79" s="7"/>
    </row>
    <row r="80" ht="20" customHeight="1">
      <c r="A80" s="7">
        <v>79</v>
      </c>
      <c r="B80" s="7" t="s">
        <v>32</v>
      </c>
      <c r="C80" s="7" t="s">
        <v>386</v>
      </c>
      <c r="D80" s="7" t="s">
        <v>387</v>
      </c>
      <c r="E80" s="7" t="s">
        <v>388</v>
      </c>
      <c r="F80" s="7" t="s">
        <v>359</v>
      </c>
      <c r="G80" s="7" t="s">
        <v>389</v>
      </c>
      <c r="H80" s="8" t="s">
        <v>59</v>
      </c>
      <c r="I80" s="8">
        <v>2</v>
      </c>
      <c r="J80" s="8" t="str">
        <v>☑</v>
      </c>
      <c r="K80" s="8" t="str">
        <v>已完成</v>
      </c>
      <c r="L80" s="9"/>
      <c r="M80" s="9"/>
      <c r="N80" s="9"/>
      <c r="O80" s="7"/>
    </row>
    <row r="81" ht="35.25" customHeight="1">
      <c r="A81" s="7">
        <v>80</v>
      </c>
      <c r="B81" s="7" t="s">
        <v>32</v>
      </c>
      <c r="C81" s="7" t="s">
        <v>283</v>
      </c>
      <c r="D81" s="7" t="s">
        <v>390</v>
      </c>
      <c r="E81" s="7" t="s">
        <v>391</v>
      </c>
      <c r="F81" s="7" t="s">
        <v>286</v>
      </c>
      <c r="G81" s="7" t="s">
        <v>287</v>
      </c>
      <c r="H81" s="8" t="s">
        <v>59</v>
      </c>
      <c r="I81" s="8">
        <v>2</v>
      </c>
      <c r="J81" s="8" t="str">
        <v>☐</v>
      </c>
      <c r="K81" s="8" t="str">
        <v>进行中</v>
      </c>
      <c r="L81" s="9"/>
      <c r="M81" s="9"/>
      <c r="N81" s="9"/>
      <c r="O81" s="7"/>
    </row>
    <row r="82" ht="35.25" customHeight="1">
      <c r="A82" s="7">
        <v>81</v>
      </c>
      <c r="B82" s="7" t="s">
        <v>33</v>
      </c>
      <c r="C82" s="7" t="s">
        <v>232</v>
      </c>
      <c r="D82" s="7" t="s">
        <v>392</v>
      </c>
      <c r="E82" s="7" t="s">
        <v>393</v>
      </c>
      <c r="F82" s="7" t="s">
        <v>394</v>
      </c>
      <c r="G82" s="7" t="s">
        <v>341</v>
      </c>
      <c r="H82" s="8" t="s">
        <v>59</v>
      </c>
      <c r="I82" s="8">
        <v>2</v>
      </c>
      <c r="J82" s="8" t="inlineStr">
        <is>
          <t>☑</t>
        </is>
      </c>
      <c r="K82" s="8" t="inlineStr">
        <is>
          <t>已完成</t>
        </is>
      </c>
      <c r="L82" s="9"/>
      <c r="M82" s="9"/>
      <c r="N82" s="9"/>
      <c r="O82" s="7"/>
    </row>
    <row r="83" ht="35.25" customHeight="1">
      <c r="A83" s="7">
        <v>82</v>
      </c>
      <c r="B83" s="7" t="s">
        <v>33</v>
      </c>
      <c r="C83" s="7" t="s">
        <v>395</v>
      </c>
      <c r="D83" s="7" t="s">
        <v>396</v>
      </c>
      <c r="E83" s="7" t="s">
        <v>397</v>
      </c>
      <c r="F83" s="7" t="s">
        <v>398</v>
      </c>
      <c r="G83" s="7" t="s">
        <v>399</v>
      </c>
      <c r="H83" s="8" t="s">
        <v>59</v>
      </c>
      <c r="I83" s="8">
        <v>2</v>
      </c>
      <c r="J83" s="8" t="inlineStr">
        <is>
          <t>☑</t>
        </is>
      </c>
      <c r="K83" s="8" t="inlineStr">
        <is>
          <t>已完成</t>
        </is>
      </c>
      <c r="L83" s="9"/>
      <c r="M83" s="9"/>
      <c r="N83" s="9"/>
      <c r="O83" s="7"/>
    </row>
    <row r="84" ht="20" customHeight="1">
      <c r="A84" s="7">
        <v>83</v>
      </c>
      <c r="B84" s="7" t="s">
        <v>33</v>
      </c>
      <c r="C84" s="7" t="s">
        <v>400</v>
      </c>
      <c r="D84" s="7" t="s">
        <v>401</v>
      </c>
      <c r="E84" s="7" t="s">
        <v>402</v>
      </c>
      <c r="F84" s="7" t="s">
        <v>403</v>
      </c>
      <c r="G84" s="7" t="s">
        <v>404</v>
      </c>
      <c r="H84" s="8" t="s">
        <v>59</v>
      </c>
      <c r="I84" s="8">
        <v>2</v>
      </c>
      <c r="J84" s="8" t="inlineStr">
        <is>
          <t>☑</t>
        </is>
      </c>
      <c r="K84" s="8" t="inlineStr">
        <is>
          <t>已完成</t>
        </is>
      </c>
      <c r="L84" s="9"/>
      <c r="M84" s="9"/>
      <c r="N84" s="9"/>
      <c r="O84" s="7"/>
    </row>
    <row r="85" ht="20" customHeight="1">
      <c r="A85" s="7">
        <v>84</v>
      </c>
      <c r="B85" s="7" t="s">
        <v>33</v>
      </c>
      <c r="C85" s="7" t="s">
        <v>405</v>
      </c>
      <c r="D85" s="7" t="s">
        <v>406</v>
      </c>
      <c r="E85" s="7" t="s">
        <v>407</v>
      </c>
      <c r="F85" s="7" t="s">
        <v>408</v>
      </c>
      <c r="G85" s="7" t="s">
        <v>409</v>
      </c>
      <c r="H85" s="8" t="s">
        <v>59</v>
      </c>
      <c r="I85" s="8">
        <v>2</v>
      </c>
      <c r="J85" s="8" t="inlineStr">
        <is>
          <t>☑</t>
        </is>
      </c>
      <c r="K85" s="8" t="inlineStr">
        <is>
          <t>已完成</t>
        </is>
      </c>
      <c r="L85" s="9"/>
      <c r="M85" s="9"/>
      <c r="N85" s="9"/>
      <c r="O85" s="7"/>
    </row>
    <row r="86" ht="35.25" customHeight="1">
      <c r="A86" s="7">
        <v>85</v>
      </c>
      <c r="B86" s="7" t="s">
        <v>33</v>
      </c>
      <c r="C86" s="7" t="s">
        <v>133</v>
      </c>
      <c r="D86" s="7" t="s">
        <v>410</v>
      </c>
      <c r="E86" s="7" t="s">
        <v>411</v>
      </c>
      <c r="F86" s="7" t="s">
        <v>412</v>
      </c>
      <c r="G86" s="7" t="s">
        <v>413</v>
      </c>
      <c r="H86" s="8" t="s">
        <v>59</v>
      </c>
      <c r="I86" s="8">
        <v>2</v>
      </c>
      <c r="J86" s="8" t="inlineStr">
        <is>
          <t>☐</t>
        </is>
      </c>
      <c r="K86" s="8" t="inlineStr">
        <is>
          <t>进行中</t>
        </is>
      </c>
      <c r="L86" s="9"/>
      <c r="M86" s="9"/>
      <c r="N86" s="9"/>
      <c r="O86" s="7"/>
    </row>
    <row r="87" ht="35.25" customHeight="1">
      <c r="A87" s="7">
        <v>86</v>
      </c>
      <c r="B87" s="7" t="s">
        <v>33</v>
      </c>
      <c r="C87" s="7" t="s">
        <v>414</v>
      </c>
      <c r="D87" s="7" t="s">
        <v>415</v>
      </c>
      <c r="E87" s="7" t="s">
        <v>416</v>
      </c>
      <c r="F87" s="7" t="s">
        <v>417</v>
      </c>
      <c r="G87" s="7" t="s">
        <v>418</v>
      </c>
      <c r="H87" s="8" t="s">
        <v>59</v>
      </c>
      <c r="I87" s="8">
        <v>2</v>
      </c>
      <c r="J87" s="8" t="inlineStr">
        <is>
          <t>☑</t>
        </is>
      </c>
      <c r="K87" s="8" t="inlineStr">
        <is>
          <t>已完成</t>
        </is>
      </c>
      <c r="L87" s="9"/>
      <c r="M87" s="9"/>
      <c r="N87" s="9"/>
      <c r="O87" s="7"/>
    </row>
    <row r="88" ht="35.25" customHeight="1">
      <c r="A88" s="7">
        <v>87</v>
      </c>
      <c r="B88" s="7" t="s">
        <v>33</v>
      </c>
      <c r="C88" s="7" t="s">
        <v>419</v>
      </c>
      <c r="D88" s="7" t="s">
        <v>420</v>
      </c>
      <c r="E88" s="7" t="s">
        <v>421</v>
      </c>
      <c r="F88" s="7" t="s">
        <v>422</v>
      </c>
      <c r="G88" s="7" t="s">
        <v>423</v>
      </c>
      <c r="H88" s="8" t="s">
        <v>59</v>
      </c>
      <c r="I88" s="8">
        <v>2</v>
      </c>
      <c r="J88" s="8" t="inlineStr">
        <is>
          <t>☑</t>
        </is>
      </c>
      <c r="K88" s="8" t="inlineStr">
        <is>
          <t>已完成</t>
        </is>
      </c>
      <c r="L88" s="9"/>
      <c r="M88" s="9"/>
      <c r="N88" s="9"/>
      <c r="O88" s="7"/>
    </row>
    <row r="89" ht="35.25" customHeight="1">
      <c r="A89" s="7">
        <v>88</v>
      </c>
      <c r="B89" s="7" t="s">
        <v>33</v>
      </c>
      <c r="C89" s="7" t="s">
        <v>424</v>
      </c>
      <c r="D89" s="7" t="s">
        <v>425</v>
      </c>
      <c r="E89" s="7" t="str">
        <v>校验 PAID、商家窗口归属、接单超时；状态改 PREPARING；调用 pickup 入制作中</v>
      </c>
      <c r="F89" s="7" t="s">
        <v>426</v>
      </c>
      <c r="G89" s="7" t="s">
        <v>427</v>
      </c>
      <c r="H89" s="8" t="s">
        <v>59</v>
      </c>
      <c r="I89" s="8">
        <v>2</v>
      </c>
      <c r="J89" s="8" t="inlineStr">
        <is>
          <t>☐</t>
        </is>
      </c>
      <c r="K89" s="8" t="inlineStr">
        <is>
          <t>未开始</t>
        </is>
      </c>
      <c r="L89" s="9"/>
      <c r="M89" s="9"/>
      <c r="N89" s="9"/>
      <c r="O89" s="7"/>
    </row>
    <row r="90" ht="20" customHeight="1">
      <c r="A90" s="7">
        <v>89</v>
      </c>
      <c r="B90" s="7" t="s">
        <v>33</v>
      </c>
      <c r="C90" s="7" t="s">
        <v>428</v>
      </c>
      <c r="D90" s="7" t="s">
        <v>429</v>
      </c>
      <c r="E90" s="7" t="s">
        <v>430</v>
      </c>
      <c r="F90" s="7" t="s">
        <v>431</v>
      </c>
      <c r="G90" s="7" t="s">
        <v>432</v>
      </c>
      <c r="H90" s="8" t="s">
        <v>59</v>
      </c>
      <c r="I90" s="8">
        <v>2</v>
      </c>
      <c r="J90" s="8" t="inlineStr">
        <is>
          <t>☐</t>
        </is>
      </c>
      <c r="K90" s="8" t="inlineStr">
        <is>
          <t>未开始</t>
        </is>
      </c>
      <c r="L90" s="9"/>
      <c r="M90" s="9"/>
      <c r="N90" s="9"/>
      <c r="O90" s="7"/>
    </row>
    <row r="91" ht="35.25" customHeight="1">
      <c r="A91" s="7">
        <v>90</v>
      </c>
      <c r="B91" s="7" t="s">
        <v>33</v>
      </c>
      <c r="C91" s="7" t="s">
        <v>433</v>
      </c>
      <c r="D91" s="7" t="s">
        <v>434</v>
      </c>
      <c r="E91" s="7" t="s">
        <v>435</v>
      </c>
      <c r="F91" s="7" t="s">
        <v>426</v>
      </c>
      <c r="G91" s="7" t="s">
        <v>436</v>
      </c>
      <c r="H91" s="8" t="s">
        <v>59</v>
      </c>
      <c r="I91" s="8">
        <v>2</v>
      </c>
      <c r="J91" s="8" t="inlineStr">
        <is>
          <t>☐</t>
        </is>
      </c>
      <c r="K91" s="8" t="inlineStr">
        <is>
          <t>未开始</t>
        </is>
      </c>
      <c r="L91" s="9"/>
      <c r="M91" s="9"/>
      <c r="N91" s="9"/>
      <c r="O91" s="7"/>
    </row>
    <row r="92" ht="35.25" customHeight="1">
      <c r="A92" s="7">
        <v>91</v>
      </c>
      <c r="B92" s="7" t="s">
        <v>33</v>
      </c>
      <c r="C92" s="7" t="s">
        <v>437</v>
      </c>
      <c r="D92" s="7" t="s">
        <v>438</v>
      </c>
      <c r="E92" s="7" t="s">
        <v>439</v>
      </c>
      <c r="F92" s="7" t="s">
        <v>440</v>
      </c>
      <c r="G92" s="7" t="s">
        <v>441</v>
      </c>
      <c r="H92" s="8" t="s">
        <v>59</v>
      </c>
      <c r="I92" s="8">
        <v>2</v>
      </c>
      <c r="J92" s="8" t="inlineStr">
        <is>
          <t>☐</t>
        </is>
      </c>
      <c r="K92" s="8" t="inlineStr">
        <is>
          <t>未开始</t>
        </is>
      </c>
      <c r="L92" s="9"/>
      <c r="M92" s="9"/>
      <c r="N92" s="9"/>
      <c r="O92" s="7"/>
    </row>
    <row r="93" ht="35.25" customHeight="1">
      <c r="A93" s="7">
        <v>92</v>
      </c>
      <c r="B93" s="7" t="s">
        <v>33</v>
      </c>
      <c r="C93" s="7" t="s">
        <v>331</v>
      </c>
      <c r="D93" s="7" t="s">
        <v>442</v>
      </c>
      <c r="E93" s="7" t="s">
        <v>443</v>
      </c>
      <c r="F93" s="7" t="s">
        <v>334</v>
      </c>
      <c r="G93" s="7" t="s">
        <v>444</v>
      </c>
      <c r="H93" s="8" t="s">
        <v>59</v>
      </c>
      <c r="I93" s="8">
        <v>2</v>
      </c>
      <c r="J93" s="8" t="inlineStr">
        <is>
          <t>☐</t>
        </is>
      </c>
      <c r="K93" s="8" t="inlineStr">
        <is>
          <t>未开始</t>
        </is>
      </c>
      <c r="L93" s="9"/>
      <c r="M93" s="9"/>
      <c r="N93" s="9"/>
      <c r="O93" s="7"/>
    </row>
    <row r="94" ht="35.25" customHeight="1">
      <c r="A94" s="7">
        <v>93</v>
      </c>
      <c r="B94" s="7" t="s">
        <v>33</v>
      </c>
      <c r="C94" s="7" t="s">
        <v>445</v>
      </c>
      <c r="D94" s="7" t="s">
        <v>446</v>
      </c>
      <c r="E94" s="7" t="s">
        <v>447</v>
      </c>
      <c r="F94" s="7" t="s">
        <v>448</v>
      </c>
      <c r="G94" s="7" t="s">
        <v>449</v>
      </c>
      <c r="H94" s="8" t="s">
        <v>59</v>
      </c>
      <c r="I94" s="8">
        <v>2</v>
      </c>
      <c r="J94" s="8" t="inlineStr">
        <is>
          <t>☐</t>
        </is>
      </c>
      <c r="K94" s="8" t="inlineStr">
        <is>
          <t>未开始</t>
        </is>
      </c>
      <c r="L94" s="9"/>
      <c r="M94" s="9"/>
      <c r="N94" s="9"/>
      <c r="O94" s="7"/>
    </row>
    <row r="95" ht="35.25" customHeight="1">
      <c r="A95" s="7">
        <v>94</v>
      </c>
      <c r="B95" s="7" t="s">
        <v>33</v>
      </c>
      <c r="C95" s="7" t="s">
        <v>283</v>
      </c>
      <c r="D95" s="7" t="s">
        <v>450</v>
      </c>
      <c r="E95" s="7" t="s">
        <v>451</v>
      </c>
      <c r="F95" s="7" t="s">
        <v>286</v>
      </c>
      <c r="G95" s="7" t="s">
        <v>287</v>
      </c>
      <c r="H95" s="8" t="s">
        <v>59</v>
      </c>
      <c r="I95" s="8">
        <v>2</v>
      </c>
      <c r="J95" s="8" t="inlineStr">
        <is>
          <t>☐</t>
        </is>
      </c>
      <c r="K95" s="8" t="inlineStr">
        <is>
          <t>进行中</t>
        </is>
      </c>
      <c r="L95" s="9"/>
      <c r="M95" s="9"/>
      <c r="N95" s="9"/>
      <c r="O95" s="7"/>
    </row>
    <row r="96" ht="35.25" customHeight="1">
      <c r="A96" s="7">
        <v>95</v>
      </c>
      <c r="B96" s="7" t="s">
        <v>34</v>
      </c>
      <c r="C96" s="7" t="s">
        <v>452</v>
      </c>
      <c r="D96" s="7" t="s">
        <v>453</v>
      </c>
      <c r="E96" s="7" t="s">
        <v>454</v>
      </c>
      <c r="F96" s="7" t="s">
        <v>455</v>
      </c>
      <c r="G96" s="7" t="s">
        <v>456</v>
      </c>
      <c r="H96" s="8" t="s">
        <v>59</v>
      </c>
      <c r="I96" s="8">
        <v>2</v>
      </c>
      <c r="J96" s="8" t="s">
        <v>81</v>
      </c>
      <c r="K96" s="8" t="s">
        <v>192</v>
      </c>
      <c r="L96" s="9"/>
      <c r="M96" s="9"/>
      <c r="N96" s="9"/>
      <c r="O96" s="7"/>
    </row>
    <row r="97" ht="35.25" customHeight="1">
      <c r="A97" s="7">
        <v>96</v>
      </c>
      <c r="B97" s="7" t="s">
        <v>34</v>
      </c>
      <c r="C97" s="7" t="s">
        <v>457</v>
      </c>
      <c r="D97" s="7" t="s">
        <v>458</v>
      </c>
      <c r="E97" s="7" t="s">
        <v>459</v>
      </c>
      <c r="F97" s="7" t="s">
        <v>460</v>
      </c>
      <c r="G97" s="7" t="s">
        <v>461</v>
      </c>
      <c r="H97" s="8" t="s">
        <v>59</v>
      </c>
      <c r="I97" s="8">
        <v>2</v>
      </c>
      <c r="J97" s="8" t="s">
        <v>81</v>
      </c>
      <c r="K97" s="8" t="s">
        <v>192</v>
      </c>
      <c r="L97" s="9"/>
      <c r="M97" s="9"/>
      <c r="N97" s="9"/>
      <c r="O97" s="7"/>
    </row>
    <row r="98" ht="35.25" customHeight="1">
      <c r="A98" s="7">
        <v>97</v>
      </c>
      <c r="B98" s="7" t="s">
        <v>34</v>
      </c>
      <c r="C98" s="7" t="s">
        <v>462</v>
      </c>
      <c r="D98" s="7" t="s">
        <v>463</v>
      </c>
      <c r="E98" s="7" t="s">
        <v>464</v>
      </c>
      <c r="F98" s="7" t="s">
        <v>465</v>
      </c>
      <c r="G98" s="7" t="s">
        <v>466</v>
      </c>
      <c r="H98" s="8" t="s">
        <v>59</v>
      </c>
      <c r="I98" s="8">
        <v>2</v>
      </c>
      <c r="J98" s="8" t="s">
        <v>81</v>
      </c>
      <c r="K98" s="8" t="s">
        <v>192</v>
      </c>
      <c r="L98" s="9"/>
      <c r="M98" s="9"/>
      <c r="N98" s="9"/>
      <c r="O98" s="7"/>
    </row>
    <row r="99" ht="20" customHeight="1">
      <c r="A99" s="7">
        <v>98</v>
      </c>
      <c r="B99" s="7" t="s">
        <v>34</v>
      </c>
      <c r="C99" s="7" t="s">
        <v>467</v>
      </c>
      <c r="D99" s="7" t="s">
        <v>468</v>
      </c>
      <c r="E99" s="7" t="s">
        <v>469</v>
      </c>
      <c r="F99" s="7" t="s">
        <v>462</v>
      </c>
      <c r="G99" s="7" t="s">
        <v>470</v>
      </c>
      <c r="H99" s="8" t="s">
        <v>59</v>
      </c>
      <c r="I99" s="8">
        <v>2</v>
      </c>
      <c r="J99" s="8" t="s">
        <v>81</v>
      </c>
      <c r="K99" s="8" t="s">
        <v>192</v>
      </c>
      <c r="L99" s="9"/>
      <c r="M99" s="9"/>
      <c r="N99" s="9"/>
      <c r="O99" s="7"/>
    </row>
    <row r="100" ht="20" customHeight="1">
      <c r="A100" s="7">
        <v>99</v>
      </c>
      <c r="B100" s="7" t="s">
        <v>34</v>
      </c>
      <c r="C100" s="7" t="s">
        <v>471</v>
      </c>
      <c r="D100" s="7" t="s">
        <v>472</v>
      </c>
      <c r="E100" s="7" t="s">
        <v>473</v>
      </c>
      <c r="F100" s="7" t="s">
        <v>121</v>
      </c>
      <c r="G100" s="7" t="s">
        <v>474</v>
      </c>
      <c r="H100" s="8" t="s">
        <v>59</v>
      </c>
      <c r="I100" s="8">
        <v>2</v>
      </c>
      <c r="J100" s="8" t="s">
        <v>81</v>
      </c>
      <c r="K100" s="8" t="s">
        <v>192</v>
      </c>
      <c r="L100" s="9"/>
      <c r="M100" s="9"/>
      <c r="N100" s="9"/>
      <c r="O100" s="7"/>
    </row>
    <row r="101" ht="20" customHeight="1">
      <c r="A101" s="7">
        <v>100</v>
      </c>
      <c r="B101" s="7" t="s">
        <v>34</v>
      </c>
      <c r="C101" s="7" t="s">
        <v>475</v>
      </c>
      <c r="D101" s="7" t="s">
        <v>476</v>
      </c>
      <c r="E101" s="7" t="s">
        <v>477</v>
      </c>
      <c r="F101" s="7" t="s">
        <v>478</v>
      </c>
      <c r="G101" s="7" t="s">
        <v>479</v>
      </c>
      <c r="H101" s="8" t="s">
        <v>59</v>
      </c>
      <c r="I101" s="8">
        <v>2</v>
      </c>
      <c r="J101" s="8" t="s">
        <v>81</v>
      </c>
      <c r="K101" s="8" t="s">
        <v>192</v>
      </c>
      <c r="L101" s="9"/>
      <c r="M101" s="9"/>
      <c r="N101" s="9"/>
      <c r="O101" s="7"/>
    </row>
    <row r="102" ht="20" customHeight="1">
      <c r="A102" s="7">
        <v>101</v>
      </c>
      <c r="B102" s="7" t="s">
        <v>34</v>
      </c>
      <c r="C102" s="7" t="s">
        <v>480</v>
      </c>
      <c r="D102" s="7" t="s">
        <v>481</v>
      </c>
      <c r="E102" s="7" t="s">
        <v>482</v>
      </c>
      <c r="F102" s="7" t="s">
        <v>483</v>
      </c>
      <c r="G102" s="7" t="s">
        <v>484</v>
      </c>
      <c r="H102" s="8" t="s">
        <v>59</v>
      </c>
      <c r="I102" s="8">
        <v>2</v>
      </c>
      <c r="J102" s="8" t="s">
        <v>81</v>
      </c>
      <c r="K102" s="8" t="s">
        <v>192</v>
      </c>
      <c r="L102" s="9"/>
      <c r="M102" s="9"/>
      <c r="N102" s="9"/>
      <c r="O102" s="7"/>
    </row>
    <row r="103" ht="20" customHeight="1">
      <c r="A103" s="7">
        <v>102</v>
      </c>
      <c r="B103" s="7" t="s">
        <v>34</v>
      </c>
      <c r="C103" s="7" t="s">
        <v>283</v>
      </c>
      <c r="D103" s="7" t="s">
        <v>485</v>
      </c>
      <c r="E103" s="7" t="s">
        <v>486</v>
      </c>
      <c r="F103" s="7" t="s">
        <v>286</v>
      </c>
      <c r="G103" s="7" t="s">
        <v>287</v>
      </c>
      <c r="H103" s="8" t="s">
        <v>59</v>
      </c>
      <c r="I103" s="8">
        <v>2</v>
      </c>
      <c r="J103" s="8" t="s">
        <v>81</v>
      </c>
      <c r="K103" s="8" t="s">
        <v>192</v>
      </c>
      <c r="L103" s="9"/>
      <c r="M103" s="9"/>
      <c r="N103" s="9"/>
      <c r="O103" s="7"/>
    </row>
    <row r="104" ht="20" customHeight="1">
      <c r="A104" s="7">
        <v>103</v>
      </c>
      <c r="B104" s="7" t="s">
        <v>35</v>
      </c>
      <c r="C104" s="7" t="s">
        <v>129</v>
      </c>
      <c r="D104" s="7" t="s">
        <v>487</v>
      </c>
      <c r="E104" s="7" t="s">
        <v>488</v>
      </c>
      <c r="F104" s="7" t="s">
        <v>489</v>
      </c>
      <c r="G104" s="7" t="s">
        <v>490</v>
      </c>
      <c r="H104" s="8" t="s">
        <v>59</v>
      </c>
      <c r="I104" s="8">
        <v>2</v>
      </c>
      <c r="J104" s="8" t="s">
        <v>81</v>
      </c>
      <c r="K104" s="8" t="s">
        <v>192</v>
      </c>
      <c r="L104" s="9"/>
      <c r="M104" s="9"/>
      <c r="N104" s="9"/>
      <c r="O104" s="7"/>
    </row>
    <row r="105" ht="20" customHeight="1">
      <c r="A105" s="7">
        <v>104</v>
      </c>
      <c r="B105" s="7" t="s">
        <v>35</v>
      </c>
      <c r="C105" s="7" t="s">
        <v>129</v>
      </c>
      <c r="D105" s="7" t="s">
        <v>491</v>
      </c>
      <c r="E105" s="7" t="s">
        <v>492</v>
      </c>
      <c r="F105" s="7" t="s">
        <v>493</v>
      </c>
      <c r="G105" s="7" t="s">
        <v>494</v>
      </c>
      <c r="H105" s="8" t="s">
        <v>59</v>
      </c>
      <c r="I105" s="8">
        <v>2</v>
      </c>
      <c r="J105" s="8" t="s">
        <v>81</v>
      </c>
      <c r="K105" s="8" t="s">
        <v>192</v>
      </c>
      <c r="L105" s="9"/>
      <c r="M105" s="9"/>
      <c r="N105" s="9"/>
      <c r="O105" s="7"/>
    </row>
    <row r="106" ht="20" customHeight="1">
      <c r="A106" s="7">
        <v>105</v>
      </c>
      <c r="B106" s="7" t="s">
        <v>35</v>
      </c>
      <c r="C106" s="7" t="s">
        <v>129</v>
      </c>
      <c r="D106" s="7" t="s">
        <v>495</v>
      </c>
      <c r="E106" s="7" t="s">
        <v>496</v>
      </c>
      <c r="F106" s="7" t="s">
        <v>497</v>
      </c>
      <c r="G106" s="7" t="s">
        <v>498</v>
      </c>
      <c r="H106" s="8" t="s">
        <v>59</v>
      </c>
      <c r="I106" s="8">
        <v>2</v>
      </c>
      <c r="J106" s="8" t="s">
        <v>81</v>
      </c>
      <c r="K106" s="8" t="s">
        <v>192</v>
      </c>
      <c r="L106" s="9"/>
      <c r="M106" s="9"/>
      <c r="N106" s="9"/>
      <c r="O106" s="7"/>
    </row>
    <row r="107" ht="20" customHeight="1">
      <c r="A107" s="7">
        <v>106</v>
      </c>
      <c r="B107" s="7" t="s">
        <v>35</v>
      </c>
      <c r="C107" s="7" t="s">
        <v>129</v>
      </c>
      <c r="D107" s="7" t="s">
        <v>499</v>
      </c>
      <c r="E107" s="7" t="s">
        <v>500</v>
      </c>
      <c r="F107" s="7" t="s">
        <v>501</v>
      </c>
      <c r="G107" s="7" t="s">
        <v>502</v>
      </c>
      <c r="H107" s="8" t="s">
        <v>59</v>
      </c>
      <c r="I107" s="8">
        <v>2</v>
      </c>
      <c r="J107" s="8" t="s">
        <v>81</v>
      </c>
      <c r="K107" s="8" t="s">
        <v>192</v>
      </c>
      <c r="L107" s="9"/>
      <c r="M107" s="9"/>
      <c r="N107" s="9"/>
      <c r="O107" s="7"/>
    </row>
    <row r="108" ht="35.25" customHeight="1">
      <c r="A108" s="7">
        <v>107</v>
      </c>
      <c r="B108" s="7" t="s">
        <v>35</v>
      </c>
      <c r="C108" s="7" t="s">
        <v>503</v>
      </c>
      <c r="D108" s="7" t="s">
        <v>504</v>
      </c>
      <c r="E108" s="7" t="s">
        <v>505</v>
      </c>
      <c r="F108" s="7" t="s">
        <v>506</v>
      </c>
      <c r="G108" s="7" t="s">
        <v>507</v>
      </c>
      <c r="H108" s="8" t="s">
        <v>59</v>
      </c>
      <c r="I108" s="8">
        <v>2</v>
      </c>
      <c r="J108" s="8" t="s">
        <v>81</v>
      </c>
      <c r="K108" s="8" t="s">
        <v>192</v>
      </c>
      <c r="L108" s="9"/>
      <c r="M108" s="9"/>
      <c r="N108" s="9"/>
      <c r="O108" s="7"/>
    </row>
    <row r="109" ht="20" customHeight="1">
      <c r="A109" s="7">
        <v>108</v>
      </c>
      <c r="B109" s="7" t="s">
        <v>35</v>
      </c>
      <c r="C109" s="7" t="s">
        <v>133</v>
      </c>
      <c r="D109" s="7" t="s">
        <v>508</v>
      </c>
      <c r="E109" s="7" t="s">
        <v>509</v>
      </c>
      <c r="F109" s="7" t="s">
        <v>510</v>
      </c>
      <c r="G109" s="7" t="s">
        <v>511</v>
      </c>
      <c r="H109" s="8" t="s">
        <v>59</v>
      </c>
      <c r="I109" s="8">
        <v>2</v>
      </c>
      <c r="J109" s="8" t="s">
        <v>81</v>
      </c>
      <c r="K109" s="8" t="s">
        <v>192</v>
      </c>
      <c r="L109" s="9"/>
      <c r="M109" s="9"/>
      <c r="N109" s="9"/>
      <c r="O109" s="7"/>
    </row>
    <row r="110" ht="20" customHeight="1">
      <c r="A110" s="7">
        <v>109</v>
      </c>
      <c r="B110" s="7" t="s">
        <v>35</v>
      </c>
      <c r="C110" s="7" t="s">
        <v>133</v>
      </c>
      <c r="D110" s="7" t="s">
        <v>512</v>
      </c>
      <c r="E110" s="7" t="s">
        <v>513</v>
      </c>
      <c r="F110" s="7" t="s">
        <v>510</v>
      </c>
      <c r="G110" s="7" t="s">
        <v>514</v>
      </c>
      <c r="H110" s="8" t="s">
        <v>59</v>
      </c>
      <c r="I110" s="8">
        <v>2</v>
      </c>
      <c r="J110" s="8" t="s">
        <v>81</v>
      </c>
      <c r="K110" s="8" t="s">
        <v>192</v>
      </c>
      <c r="L110" s="9"/>
      <c r="M110" s="9"/>
      <c r="N110" s="9"/>
      <c r="O110" s="7"/>
    </row>
    <row r="111" ht="20" customHeight="1">
      <c r="A111" s="7">
        <v>110</v>
      </c>
      <c r="B111" s="7" t="s">
        <v>35</v>
      </c>
      <c r="C111" s="7" t="s">
        <v>382</v>
      </c>
      <c r="D111" s="7" t="s">
        <v>515</v>
      </c>
      <c r="E111" s="7" t="s">
        <v>516</v>
      </c>
      <c r="F111" s="7" t="s">
        <v>517</v>
      </c>
      <c r="G111" s="7" t="s">
        <v>518</v>
      </c>
      <c r="H111" s="8" t="s">
        <v>59</v>
      </c>
      <c r="I111" s="8">
        <v>2</v>
      </c>
      <c r="J111" s="8" t="s">
        <v>81</v>
      </c>
      <c r="K111" s="8" t="s">
        <v>192</v>
      </c>
      <c r="L111" s="9"/>
      <c r="M111" s="9"/>
      <c r="N111" s="9"/>
      <c r="O111" s="7"/>
    </row>
    <row r="112" ht="20" customHeight="1">
      <c r="A112" s="7">
        <v>111</v>
      </c>
      <c r="B112" s="7" t="s">
        <v>35</v>
      </c>
      <c r="C112" s="7" t="s">
        <v>121</v>
      </c>
      <c r="D112" s="7" t="s">
        <v>519</v>
      </c>
      <c r="E112" s="7" t="s">
        <v>520</v>
      </c>
      <c r="F112" s="7" t="s">
        <v>521</v>
      </c>
      <c r="G112" s="7" t="s">
        <v>522</v>
      </c>
      <c r="H112" s="8" t="s">
        <v>59</v>
      </c>
      <c r="I112" s="8">
        <v>2</v>
      </c>
      <c r="J112" s="8" t="s">
        <v>81</v>
      </c>
      <c r="K112" s="8" t="s">
        <v>192</v>
      </c>
      <c r="L112" s="9"/>
      <c r="M112" s="9"/>
      <c r="N112" s="9"/>
      <c r="O112" s="7"/>
    </row>
    <row r="113" ht="35.25" customHeight="1">
      <c r="A113" s="7">
        <v>112</v>
      </c>
      <c r="B113" s="7" t="s">
        <v>36</v>
      </c>
      <c r="C113" s="7" t="s">
        <v>523</v>
      </c>
      <c r="D113" s="7" t="s">
        <v>524</v>
      </c>
      <c r="E113" s="7" t="s">
        <v>525</v>
      </c>
      <c r="F113" s="7" t="s">
        <v>526</v>
      </c>
      <c r="G113" s="7" t="s">
        <v>527</v>
      </c>
      <c r="H113" s="8" t="s">
        <v>59</v>
      </c>
      <c r="I113" s="8">
        <v>2</v>
      </c>
      <c r="J113" s="8" t="s">
        <v>81</v>
      </c>
      <c r="K113" s="8" t="s">
        <v>192</v>
      </c>
      <c r="L113" s="9"/>
      <c r="M113" s="9"/>
      <c r="N113" s="9"/>
      <c r="O113" s="7"/>
    </row>
    <row r="114" ht="20" customHeight="1">
      <c r="A114" s="7">
        <v>113</v>
      </c>
      <c r="B114" s="7" t="s">
        <v>36</v>
      </c>
      <c r="C114" s="7" t="s">
        <v>523</v>
      </c>
      <c r="D114" s="7" t="s">
        <v>528</v>
      </c>
      <c r="E114" s="7" t="s">
        <v>529</v>
      </c>
      <c r="F114" s="7" t="s">
        <v>530</v>
      </c>
      <c r="G114" s="7" t="s">
        <v>531</v>
      </c>
      <c r="H114" s="8" t="s">
        <v>59</v>
      </c>
      <c r="I114" s="8">
        <v>2</v>
      </c>
      <c r="J114" s="8" t="s">
        <v>81</v>
      </c>
      <c r="K114" s="8" t="s">
        <v>192</v>
      </c>
      <c r="L114" s="9"/>
      <c r="M114" s="9"/>
      <c r="N114" s="9"/>
      <c r="O114" s="7"/>
    </row>
    <row r="115" ht="20" customHeight="1">
      <c r="A115" s="7">
        <v>114</v>
      </c>
      <c r="B115" s="7" t="s">
        <v>36</v>
      </c>
      <c r="C115" s="7" t="s">
        <v>523</v>
      </c>
      <c r="D115" s="7" t="s">
        <v>532</v>
      </c>
      <c r="E115" s="7" t="s">
        <v>533</v>
      </c>
      <c r="F115" s="7" t="s">
        <v>534</v>
      </c>
      <c r="G115" s="7" t="s">
        <v>535</v>
      </c>
      <c r="H115" s="8" t="s">
        <v>59</v>
      </c>
      <c r="I115" s="8">
        <v>2</v>
      </c>
      <c r="J115" s="8" t="s">
        <v>81</v>
      </c>
      <c r="K115" s="8" t="s">
        <v>192</v>
      </c>
      <c r="L115" s="9"/>
      <c r="M115" s="9"/>
      <c r="N115" s="9"/>
      <c r="O115" s="7"/>
    </row>
    <row r="116" ht="20" customHeight="1">
      <c r="A116" s="7">
        <v>115</v>
      </c>
      <c r="B116" s="7" t="s">
        <v>36</v>
      </c>
      <c r="C116" s="7" t="s">
        <v>523</v>
      </c>
      <c r="D116" s="7" t="s">
        <v>536</v>
      </c>
      <c r="E116" s="7" t="s">
        <v>537</v>
      </c>
      <c r="F116" s="7" t="s">
        <v>538</v>
      </c>
      <c r="G116" s="7" t="s">
        <v>539</v>
      </c>
      <c r="H116" s="8" t="s">
        <v>59</v>
      </c>
      <c r="I116" s="8">
        <v>2</v>
      </c>
      <c r="J116" s="8" t="s">
        <v>81</v>
      </c>
      <c r="K116" s="8" t="s">
        <v>192</v>
      </c>
      <c r="L116" s="9"/>
      <c r="M116" s="9"/>
      <c r="N116" s="9"/>
      <c r="O116" s="7"/>
    </row>
    <row r="117" ht="20" customHeight="1">
      <c r="A117" s="7">
        <v>116</v>
      </c>
      <c r="B117" s="7" t="s">
        <v>36</v>
      </c>
      <c r="C117" s="7" t="s">
        <v>540</v>
      </c>
      <c r="D117" s="7" t="s">
        <v>541</v>
      </c>
      <c r="E117" s="7" t="s">
        <v>542</v>
      </c>
      <c r="F117" s="7" t="s">
        <v>417</v>
      </c>
      <c r="G117" s="7" t="s">
        <v>543</v>
      </c>
      <c r="H117" s="8" t="s">
        <v>59</v>
      </c>
      <c r="I117" s="8">
        <v>2</v>
      </c>
      <c r="J117" s="8" t="s">
        <v>81</v>
      </c>
      <c r="K117" s="8" t="s">
        <v>192</v>
      </c>
      <c r="L117" s="9"/>
      <c r="M117" s="9"/>
      <c r="N117" s="9"/>
      <c r="O117" s="7"/>
    </row>
    <row r="118" ht="20" customHeight="1">
      <c r="A118" s="7">
        <v>117</v>
      </c>
      <c r="B118" s="7" t="s">
        <v>36</v>
      </c>
      <c r="C118" s="7" t="s">
        <v>540</v>
      </c>
      <c r="D118" s="7" t="s">
        <v>544</v>
      </c>
      <c r="E118" s="7" t="s">
        <v>545</v>
      </c>
      <c r="F118" s="7" t="s">
        <v>431</v>
      </c>
      <c r="G118" s="7" t="s">
        <v>546</v>
      </c>
      <c r="H118" s="8" t="s">
        <v>59</v>
      </c>
      <c r="I118" s="8">
        <v>2</v>
      </c>
      <c r="J118" s="8" t="s">
        <v>81</v>
      </c>
      <c r="K118" s="8" t="s">
        <v>192</v>
      </c>
      <c r="L118" s="9"/>
      <c r="M118" s="9"/>
      <c r="N118" s="9"/>
      <c r="O118" s="7"/>
    </row>
    <row r="119" ht="20" customHeight="1">
      <c r="A119" s="7">
        <v>118</v>
      </c>
      <c r="B119" s="7" t="s">
        <v>36</v>
      </c>
      <c r="C119" s="7" t="s">
        <v>540</v>
      </c>
      <c r="D119" s="7" t="s">
        <v>547</v>
      </c>
      <c r="E119" s="7" t="s">
        <v>548</v>
      </c>
      <c r="F119" s="7" t="s">
        <v>549</v>
      </c>
      <c r="G119" s="7" t="s">
        <v>550</v>
      </c>
      <c r="H119" s="8" t="s">
        <v>59</v>
      </c>
      <c r="I119" s="8">
        <v>2</v>
      </c>
      <c r="J119" s="8" t="s">
        <v>81</v>
      </c>
      <c r="K119" s="8" t="s">
        <v>192</v>
      </c>
      <c r="L119" s="9"/>
      <c r="M119" s="9"/>
      <c r="N119" s="9"/>
      <c r="O119" s="7"/>
    </row>
    <row r="120" ht="20" customHeight="1">
      <c r="A120" s="7">
        <v>119</v>
      </c>
      <c r="B120" s="7" t="s">
        <v>36</v>
      </c>
      <c r="C120" s="7" t="s">
        <v>540</v>
      </c>
      <c r="D120" s="7" t="s">
        <v>551</v>
      </c>
      <c r="E120" s="7" t="s">
        <v>552</v>
      </c>
      <c r="F120" s="7" t="s">
        <v>553</v>
      </c>
      <c r="G120" s="7" t="s">
        <v>554</v>
      </c>
      <c r="H120" s="8" t="s">
        <v>59</v>
      </c>
      <c r="I120" s="8">
        <v>2</v>
      </c>
      <c r="J120" s="8" t="s">
        <v>81</v>
      </c>
      <c r="K120" s="8" t="s">
        <v>192</v>
      </c>
      <c r="L120" s="9"/>
      <c r="M120" s="9"/>
      <c r="N120" s="9"/>
      <c r="O120" s="7"/>
    </row>
    <row r="121" ht="20" customHeight="1">
      <c r="A121" s="7">
        <v>120</v>
      </c>
      <c r="B121" s="7" t="s">
        <v>36</v>
      </c>
      <c r="C121" s="7" t="s">
        <v>540</v>
      </c>
      <c r="D121" s="7" t="s">
        <v>555</v>
      </c>
      <c r="E121" s="7" t="s">
        <v>556</v>
      </c>
      <c r="F121" s="7" t="s">
        <v>549</v>
      </c>
      <c r="G121" s="7" t="s">
        <v>557</v>
      </c>
      <c r="H121" s="8" t="s">
        <v>59</v>
      </c>
      <c r="I121" s="8">
        <v>2</v>
      </c>
      <c r="J121" s="8" t="s">
        <v>81</v>
      </c>
      <c r="K121" s="8" t="s">
        <v>192</v>
      </c>
      <c r="L121" s="9"/>
      <c r="M121" s="9"/>
      <c r="N121" s="9"/>
      <c r="O121" s="7"/>
    </row>
    <row r="122" ht="20" customHeight="1">
      <c r="A122" s="7">
        <v>121</v>
      </c>
      <c r="B122" s="7" t="s">
        <v>36</v>
      </c>
      <c r="C122" s="7" t="s">
        <v>540</v>
      </c>
      <c r="D122" s="7" t="s">
        <v>558</v>
      </c>
      <c r="E122" s="7" t="s">
        <v>559</v>
      </c>
      <c r="F122" s="7" t="s">
        <v>426</v>
      </c>
      <c r="G122" s="7" t="s">
        <v>560</v>
      </c>
      <c r="H122" s="8" t="s">
        <v>59</v>
      </c>
      <c r="I122" s="8">
        <v>2</v>
      </c>
      <c r="J122" s="8" t="s">
        <v>81</v>
      </c>
      <c r="K122" s="8" t="s">
        <v>192</v>
      </c>
      <c r="L122" s="9"/>
      <c r="M122" s="9"/>
      <c r="N122" s="9"/>
      <c r="O122" s="7"/>
    </row>
    <row r="123" ht="20" customHeight="1">
      <c r="A123" s="7">
        <v>122</v>
      </c>
      <c r="B123" s="7" t="s">
        <v>36</v>
      </c>
      <c r="C123" s="7" t="s">
        <v>561</v>
      </c>
      <c r="D123" s="7" t="s">
        <v>562</v>
      </c>
      <c r="E123" s="7" t="s">
        <v>563</v>
      </c>
      <c r="F123" s="7" t="s">
        <v>564</v>
      </c>
      <c r="G123" s="7" t="s">
        <v>565</v>
      </c>
      <c r="H123" s="8" t="s">
        <v>59</v>
      </c>
      <c r="I123" s="8">
        <v>2</v>
      </c>
      <c r="J123" s="8" t="s">
        <v>81</v>
      </c>
      <c r="K123" s="8" t="s">
        <v>192</v>
      </c>
      <c r="L123" s="9"/>
      <c r="M123" s="9"/>
      <c r="N123" s="9"/>
      <c r="O123" s="7"/>
    </row>
    <row r="124" ht="20" customHeight="1">
      <c r="A124" s="7">
        <v>123</v>
      </c>
      <c r="B124" s="7" t="s">
        <v>36</v>
      </c>
      <c r="C124" s="7" t="s">
        <v>561</v>
      </c>
      <c r="D124" s="7" t="s">
        <v>566</v>
      </c>
      <c r="E124" s="7" t="s">
        <v>567</v>
      </c>
      <c r="F124" s="7" t="s">
        <v>431</v>
      </c>
      <c r="G124" s="7" t="s">
        <v>568</v>
      </c>
      <c r="H124" s="8" t="s">
        <v>59</v>
      </c>
      <c r="I124" s="8">
        <v>2</v>
      </c>
      <c r="J124" s="8" t="s">
        <v>81</v>
      </c>
      <c r="K124" s="8" t="s">
        <v>192</v>
      </c>
      <c r="L124" s="9"/>
      <c r="M124" s="9"/>
      <c r="N124" s="9"/>
      <c r="O124" s="7"/>
    </row>
    <row r="125" ht="20" customHeight="1">
      <c r="A125" s="7">
        <v>124</v>
      </c>
      <c r="B125" s="7" t="s">
        <v>36</v>
      </c>
      <c r="C125" s="7" t="s">
        <v>561</v>
      </c>
      <c r="D125" s="7" t="s">
        <v>569</v>
      </c>
      <c r="E125" s="7" t="s">
        <v>570</v>
      </c>
      <c r="F125" s="7" t="s">
        <v>549</v>
      </c>
      <c r="G125" s="7" t="s">
        <v>571</v>
      </c>
      <c r="H125" s="8" t="s">
        <v>59</v>
      </c>
      <c r="I125" s="8">
        <v>2</v>
      </c>
      <c r="J125" s="8" t="s">
        <v>81</v>
      </c>
      <c r="K125" s="8" t="s">
        <v>192</v>
      </c>
      <c r="L125" s="9"/>
      <c r="M125" s="9"/>
      <c r="N125" s="9"/>
      <c r="O125" s="7"/>
    </row>
    <row r="126" ht="20" customHeight="1">
      <c r="A126" s="7">
        <v>125</v>
      </c>
      <c r="B126" s="7" t="s">
        <v>36</v>
      </c>
      <c r="C126" s="7" t="s">
        <v>561</v>
      </c>
      <c r="D126" s="7" t="s">
        <v>572</v>
      </c>
      <c r="E126" s="7" t="s">
        <v>573</v>
      </c>
      <c r="F126" s="7" t="s">
        <v>426</v>
      </c>
      <c r="G126" s="7" t="s">
        <v>574</v>
      </c>
      <c r="H126" s="8" t="s">
        <v>59</v>
      </c>
      <c r="I126" s="8">
        <v>2</v>
      </c>
      <c r="J126" s="8" t="s">
        <v>81</v>
      </c>
      <c r="K126" s="8" t="s">
        <v>192</v>
      </c>
      <c r="L126" s="9"/>
      <c r="M126" s="9"/>
      <c r="N126" s="9"/>
      <c r="O126" s="7"/>
    </row>
    <row r="127" ht="20" customHeight="1">
      <c r="A127" s="7">
        <v>126</v>
      </c>
      <c r="B127" s="7" t="s">
        <v>36</v>
      </c>
      <c r="C127" s="7" t="s">
        <v>575</v>
      </c>
      <c r="D127" s="7" t="s">
        <v>576</v>
      </c>
      <c r="E127" s="7" t="s">
        <v>577</v>
      </c>
      <c r="F127" s="7" t="s">
        <v>417</v>
      </c>
      <c r="G127" s="7" t="s">
        <v>578</v>
      </c>
      <c r="H127" s="8" t="s">
        <v>59</v>
      </c>
      <c r="I127" s="8">
        <v>2</v>
      </c>
      <c r="J127" s="8" t="s">
        <v>81</v>
      </c>
      <c r="K127" s="8" t="s">
        <v>192</v>
      </c>
      <c r="L127" s="9"/>
      <c r="M127" s="9"/>
      <c r="N127" s="9"/>
      <c r="O127" s="7"/>
    </row>
    <row r="128" ht="20" customHeight="1">
      <c r="A128" s="7">
        <v>127</v>
      </c>
      <c r="B128" s="7" t="s">
        <v>36</v>
      </c>
      <c r="C128" s="7" t="s">
        <v>575</v>
      </c>
      <c r="D128" s="7" t="str">
        <v>实现商家窗口管理</v>
      </c>
      <c r="E128" s="7" t="str">
        <v>新增商家窗口、修改状态</v>
      </c>
      <c r="F128" s="7" t="s">
        <v>431</v>
      </c>
      <c r="G128" s="7" t="s">
        <v>579</v>
      </c>
      <c r="H128" s="8" t="s">
        <v>59</v>
      </c>
      <c r="I128" s="8">
        <v>2</v>
      </c>
      <c r="J128" s="8" t="s">
        <v>81</v>
      </c>
      <c r="K128" s="8" t="s">
        <v>192</v>
      </c>
      <c r="L128" s="9"/>
      <c r="M128" s="9"/>
      <c r="N128" s="9"/>
      <c r="O128" s="7"/>
    </row>
    <row r="129" ht="20" customHeight="1">
      <c r="A129" s="7">
        <v>128</v>
      </c>
      <c r="B129" s="7" t="s">
        <v>36</v>
      </c>
      <c r="C129" s="7" t="s">
        <v>575</v>
      </c>
      <c r="D129" s="7" t="s">
        <v>580</v>
      </c>
      <c r="E129" s="7" t="s">
        <v>581</v>
      </c>
      <c r="F129" s="7" t="s">
        <v>582</v>
      </c>
      <c r="G129" s="7" t="s">
        <v>583</v>
      </c>
      <c r="H129" s="8" t="s">
        <v>59</v>
      </c>
      <c r="I129" s="8">
        <v>2</v>
      </c>
      <c r="J129" s="8" t="s">
        <v>81</v>
      </c>
      <c r="K129" s="8" t="s">
        <v>192</v>
      </c>
      <c r="L129" s="9"/>
      <c r="M129" s="9"/>
      <c r="N129" s="9"/>
      <c r="O129" s="7"/>
    </row>
    <row r="130" ht="20" customHeight="1">
      <c r="A130" s="7">
        <v>129</v>
      </c>
      <c r="B130" s="7" t="s">
        <v>36</v>
      </c>
      <c r="C130" s="7" t="s">
        <v>584</v>
      </c>
      <c r="D130" s="7" t="s">
        <v>585</v>
      </c>
      <c r="E130" s="7" t="str">
        <v>/screen/:merchantId；展示制作中、待取餐、叫号弹窗</v>
      </c>
      <c r="F130" s="7" t="s">
        <v>586</v>
      </c>
      <c r="G130" s="7" t="s">
        <v>587</v>
      </c>
      <c r="H130" s="8" t="s">
        <v>59</v>
      </c>
      <c r="I130" s="8">
        <v>2</v>
      </c>
      <c r="J130" s="8" t="s">
        <v>81</v>
      </c>
      <c r="K130" s="8" t="s">
        <v>192</v>
      </c>
      <c r="L130" s="9"/>
      <c r="M130" s="9"/>
      <c r="N130" s="9"/>
      <c r="O130" s="7"/>
    </row>
    <row r="131" ht="20" customHeight="1">
      <c r="A131" s="7">
        <v>130</v>
      </c>
      <c r="B131" s="7" t="s">
        <v>36</v>
      </c>
      <c r="C131" s="7" t="s">
        <v>584</v>
      </c>
      <c r="D131" s="7" t="s">
        <v>588</v>
      </c>
      <c r="E131" s="7" t="s">
        <v>589</v>
      </c>
      <c r="F131" s="7" t="s">
        <v>590</v>
      </c>
      <c r="G131" s="7" t="s">
        <v>591</v>
      </c>
      <c r="H131" s="8" t="s">
        <v>59</v>
      </c>
      <c r="I131" s="8">
        <v>2</v>
      </c>
      <c r="J131" s="8" t="s">
        <v>81</v>
      </c>
      <c r="K131" s="8" t="s">
        <v>192</v>
      </c>
      <c r="L131" s="9"/>
      <c r="M131" s="9"/>
      <c r="N131" s="9"/>
      <c r="O131" s="7"/>
    </row>
    <row r="132" ht="20" customHeight="1">
      <c r="A132" s="7">
        <v>131</v>
      </c>
      <c r="B132" s="7" t="s">
        <v>36</v>
      </c>
      <c r="C132" s="7" t="s">
        <v>592</v>
      </c>
      <c r="D132" s="7" t="s">
        <v>593</v>
      </c>
      <c r="E132" s="7" t="s">
        <v>594</v>
      </c>
      <c r="F132" s="7" t="s">
        <v>595</v>
      </c>
      <c r="G132" s="7" t="s">
        <v>596</v>
      </c>
      <c r="H132" s="8" t="s">
        <v>59</v>
      </c>
      <c r="I132" s="8">
        <v>2</v>
      </c>
      <c r="J132" s="8" t="s">
        <v>81</v>
      </c>
      <c r="K132" s="8" t="s">
        <v>192</v>
      </c>
      <c r="L132" s="9"/>
      <c r="M132" s="9"/>
      <c r="N132" s="9"/>
      <c r="O132" s="7"/>
    </row>
    <row r="133" ht="20" customHeight="1">
      <c r="A133" s="7">
        <v>132</v>
      </c>
      <c r="B133" s="7" t="s">
        <v>37</v>
      </c>
      <c r="C133" s="7" t="s">
        <v>597</v>
      </c>
      <c r="D133" s="7" t="s">
        <v>598</v>
      </c>
      <c r="E133" s="7" t="s">
        <v>599</v>
      </c>
      <c r="F133" s="7" t="s">
        <v>417</v>
      </c>
      <c r="G133" s="7" t="s">
        <v>287</v>
      </c>
      <c r="H133" s="8" t="s">
        <v>59</v>
      </c>
      <c r="I133" s="8">
        <v>2</v>
      </c>
      <c r="J133" s="8" t="s">
        <v>81</v>
      </c>
      <c r="K133" s="8" t="s">
        <v>192</v>
      </c>
      <c r="L133" s="9"/>
      <c r="M133" s="9"/>
      <c r="N133" s="9"/>
      <c r="O133" s="7"/>
    </row>
    <row r="134" ht="20" customHeight="1">
      <c r="A134" s="7">
        <v>133</v>
      </c>
      <c r="B134" s="7" t="s">
        <v>37</v>
      </c>
      <c r="C134" s="7" t="s">
        <v>597</v>
      </c>
      <c r="D134" s="7" t="s">
        <v>600</v>
      </c>
      <c r="E134" s="7" t="s">
        <v>601</v>
      </c>
      <c r="F134" s="7" t="s">
        <v>431</v>
      </c>
      <c r="G134" s="7" t="s">
        <v>287</v>
      </c>
      <c r="H134" s="8" t="s">
        <v>59</v>
      </c>
      <c r="I134" s="8">
        <v>2</v>
      </c>
      <c r="J134" s="8" t="s">
        <v>81</v>
      </c>
      <c r="K134" s="8" t="s">
        <v>192</v>
      </c>
      <c r="L134" s="9"/>
      <c r="M134" s="9"/>
      <c r="N134" s="9"/>
      <c r="O134" s="7"/>
    </row>
    <row r="135" ht="35.25" customHeight="1">
      <c r="A135" s="7">
        <v>134</v>
      </c>
      <c r="B135" s="7" t="s">
        <v>37</v>
      </c>
      <c r="C135" s="7" t="s">
        <v>597</v>
      </c>
      <c r="D135" s="7" t="s">
        <v>602</v>
      </c>
      <c r="E135" s="7" t="s">
        <v>603</v>
      </c>
      <c r="F135" s="7" t="s">
        <v>549</v>
      </c>
      <c r="G135" s="7" t="s">
        <v>287</v>
      </c>
      <c r="H135" s="8" t="s">
        <v>59</v>
      </c>
      <c r="I135" s="8">
        <v>2</v>
      </c>
      <c r="J135" s="8" t="s">
        <v>81</v>
      </c>
      <c r="K135" s="8" t="s">
        <v>192</v>
      </c>
      <c r="L135" s="9"/>
      <c r="M135" s="9"/>
      <c r="N135" s="9"/>
      <c r="O135" s="7"/>
    </row>
    <row r="136" ht="20" customHeight="1">
      <c r="A136" s="7">
        <v>135</v>
      </c>
      <c r="B136" s="7" t="s">
        <v>37</v>
      </c>
      <c r="C136" s="7" t="s">
        <v>597</v>
      </c>
      <c r="D136" s="7" t="s">
        <v>604</v>
      </c>
      <c r="E136" s="7" t="s">
        <v>605</v>
      </c>
      <c r="F136" s="7" t="s">
        <v>426</v>
      </c>
      <c r="G136" s="7" t="s">
        <v>287</v>
      </c>
      <c r="H136" s="8" t="s">
        <v>59</v>
      </c>
      <c r="I136" s="8">
        <v>2</v>
      </c>
      <c r="J136" s="8" t="s">
        <v>81</v>
      </c>
      <c r="K136" s="8" t="s">
        <v>192</v>
      </c>
      <c r="L136" s="9"/>
      <c r="M136" s="9"/>
      <c r="N136" s="9"/>
      <c r="O136" s="7"/>
    </row>
    <row r="137" ht="20" customHeight="1">
      <c r="A137" s="7">
        <v>136</v>
      </c>
      <c r="B137" s="7" t="s">
        <v>37</v>
      </c>
      <c r="C137" s="7" t="s">
        <v>606</v>
      </c>
      <c r="D137" s="7" t="s">
        <v>607</v>
      </c>
      <c r="E137" s="7" t="s">
        <v>608</v>
      </c>
      <c r="F137" s="7" t="s">
        <v>609</v>
      </c>
      <c r="G137" s="7" t="s">
        <v>610</v>
      </c>
      <c r="H137" s="8" t="s">
        <v>59</v>
      </c>
      <c r="I137" s="8">
        <v>2</v>
      </c>
      <c r="J137" s="8" t="s">
        <v>81</v>
      </c>
      <c r="K137" s="8" t="s">
        <v>192</v>
      </c>
      <c r="L137" s="9"/>
      <c r="M137" s="9"/>
      <c r="N137" s="9"/>
      <c r="O137" s="7"/>
    </row>
    <row r="138" ht="20" customHeight="1">
      <c r="A138" s="7">
        <v>137</v>
      </c>
      <c r="B138" s="7" t="s">
        <v>37</v>
      </c>
      <c r="C138" s="7" t="s">
        <v>611</v>
      </c>
      <c r="D138" s="7" t="s">
        <v>612</v>
      </c>
      <c r="E138" s="7" t="s">
        <v>613</v>
      </c>
      <c r="F138" s="7" t="s">
        <v>614</v>
      </c>
      <c r="G138" s="7" t="s">
        <v>615</v>
      </c>
      <c r="H138" s="8" t="s">
        <v>59</v>
      </c>
      <c r="I138" s="8">
        <v>2</v>
      </c>
      <c r="J138" s="8" t="s">
        <v>81</v>
      </c>
      <c r="K138" s="8" t="s">
        <v>192</v>
      </c>
      <c r="L138" s="9"/>
      <c r="M138" s="9"/>
      <c r="N138" s="9"/>
      <c r="O138" s="7"/>
    </row>
    <row r="139" ht="20" customHeight="1">
      <c r="A139" s="7">
        <v>138</v>
      </c>
      <c r="B139" s="7" t="s">
        <v>37</v>
      </c>
      <c r="C139" s="7" t="s">
        <v>611</v>
      </c>
      <c r="D139" s="7" t="s">
        <v>616</v>
      </c>
      <c r="E139" s="7" t="s">
        <v>617</v>
      </c>
      <c r="F139" s="7" t="s">
        <v>618</v>
      </c>
      <c r="G139" s="7" t="s">
        <v>619</v>
      </c>
      <c r="H139" s="8" t="s">
        <v>59</v>
      </c>
      <c r="I139" s="8">
        <v>2</v>
      </c>
      <c r="J139" s="8" t="s">
        <v>81</v>
      </c>
      <c r="K139" s="8" t="s">
        <v>192</v>
      </c>
      <c r="L139" s="9"/>
      <c r="M139" s="9"/>
      <c r="N139" s="9"/>
      <c r="O139" s="7"/>
    </row>
    <row r="140" ht="20" customHeight="1">
      <c r="A140" s="7">
        <v>139</v>
      </c>
      <c r="B140" s="7" t="s">
        <v>37</v>
      </c>
      <c r="C140" s="7" t="s">
        <v>611</v>
      </c>
      <c r="D140" s="7" t="s">
        <v>620</v>
      </c>
      <c r="E140" s="7" t="s">
        <v>621</v>
      </c>
      <c r="F140" s="7" t="s">
        <v>622</v>
      </c>
      <c r="G140" s="7" t="s">
        <v>623</v>
      </c>
      <c r="H140" s="8" t="s">
        <v>59</v>
      </c>
      <c r="I140" s="8">
        <v>2</v>
      </c>
      <c r="J140" s="8" t="s">
        <v>81</v>
      </c>
      <c r="K140" s="8" t="s">
        <v>192</v>
      </c>
      <c r="L140" s="9"/>
      <c r="M140" s="9"/>
      <c r="N140" s="9"/>
      <c r="O140" s="7"/>
    </row>
    <row r="141" ht="20" customHeight="1">
      <c r="A141" s="7">
        <v>140</v>
      </c>
      <c r="B141" s="7" t="s">
        <v>37</v>
      </c>
      <c r="C141" s="7" t="s">
        <v>611</v>
      </c>
      <c r="D141" s="7" t="s">
        <v>624</v>
      </c>
      <c r="E141" s="7" t="s">
        <v>625</v>
      </c>
      <c r="F141" s="7" t="s">
        <v>618</v>
      </c>
      <c r="G141" s="7" t="s">
        <v>619</v>
      </c>
      <c r="H141" s="8" t="s">
        <v>59</v>
      </c>
      <c r="I141" s="8">
        <v>2</v>
      </c>
      <c r="J141" s="8" t="s">
        <v>81</v>
      </c>
      <c r="K141" s="8" t="s">
        <v>192</v>
      </c>
      <c r="L141" s="9"/>
      <c r="M141" s="9"/>
      <c r="N141" s="9"/>
      <c r="O141" s="7"/>
    </row>
    <row r="142" ht="35.25" customHeight="1">
      <c r="A142" s="7">
        <v>141</v>
      </c>
      <c r="B142" s="7" t="s">
        <v>37</v>
      </c>
      <c r="C142" s="7" t="s">
        <v>611</v>
      </c>
      <c r="D142" s="7" t="s">
        <v>626</v>
      </c>
      <c r="E142" s="7" t="s">
        <v>627</v>
      </c>
      <c r="F142" s="7" t="s">
        <v>628</v>
      </c>
      <c r="G142" s="7" t="s">
        <v>629</v>
      </c>
      <c r="H142" s="8" t="s">
        <v>59</v>
      </c>
      <c r="I142" s="8">
        <v>2</v>
      </c>
      <c r="J142" s="8" t="s">
        <v>81</v>
      </c>
      <c r="K142" s="8" t="s">
        <v>192</v>
      </c>
      <c r="L142" s="9"/>
      <c r="M142" s="9"/>
      <c r="N142" s="9"/>
      <c r="O142" s="7"/>
    </row>
    <row r="143" ht="20" customHeight="1">
      <c r="A143" s="7">
        <v>142</v>
      </c>
      <c r="B143" s="7" t="s">
        <v>37</v>
      </c>
      <c r="C143" s="7" t="s">
        <v>630</v>
      </c>
      <c r="D143" s="7" t="s">
        <v>631</v>
      </c>
      <c r="E143" s="7" t="s">
        <v>632</v>
      </c>
      <c r="F143" s="7" t="s">
        <v>633</v>
      </c>
      <c r="G143" s="7" t="s">
        <v>634</v>
      </c>
      <c r="H143" s="8" t="s">
        <v>59</v>
      </c>
      <c r="I143" s="8">
        <v>2</v>
      </c>
      <c r="J143" s="8" t="s">
        <v>81</v>
      </c>
      <c r="K143" s="8" t="s">
        <v>192</v>
      </c>
      <c r="L143" s="9"/>
      <c r="M143" s="9"/>
      <c r="N143" s="9"/>
      <c r="O143" s="7"/>
    </row>
    <row r="144" ht="20" customHeight="1">
      <c r="A144" s="7">
        <v>143</v>
      </c>
      <c r="B144" s="7" t="s">
        <v>37</v>
      </c>
      <c r="C144" s="7" t="s">
        <v>635</v>
      </c>
      <c r="D144" s="7" t="s">
        <v>636</v>
      </c>
      <c r="E144" s="7" t="s">
        <v>637</v>
      </c>
      <c r="F144" s="7" t="s">
        <v>638</v>
      </c>
      <c r="G144" s="7" t="s">
        <v>639</v>
      </c>
      <c r="H144" s="8" t="s">
        <v>59</v>
      </c>
      <c r="I144" s="8">
        <v>2</v>
      </c>
      <c r="J144" s="8" t="s">
        <v>81</v>
      </c>
      <c r="K144" s="8" t="s">
        <v>192</v>
      </c>
      <c r="L144" s="9"/>
      <c r="M144" s="9"/>
      <c r="N144" s="9"/>
      <c r="O144" s="7"/>
    </row>
    <row r="145" ht="20" customHeight="1">
      <c r="A145" s="7">
        <v>144</v>
      </c>
      <c r="B145" s="7" t="s">
        <v>37</v>
      </c>
      <c r="C145" s="7" t="s">
        <v>640</v>
      </c>
      <c r="D145" s="7" t="s">
        <v>641</v>
      </c>
      <c r="E145" s="7" t="s">
        <v>642</v>
      </c>
      <c r="F145" s="7" t="s">
        <v>643</v>
      </c>
      <c r="G145" s="7" t="s">
        <v>644</v>
      </c>
      <c r="H145" s="8" t="s">
        <v>59</v>
      </c>
      <c r="I145" s="8">
        <v>2</v>
      </c>
      <c r="J145" s="8" t="s">
        <v>81</v>
      </c>
      <c r="K145" s="8" t="s">
        <v>192</v>
      </c>
      <c r="L145" s="9"/>
      <c r="M145" s="9"/>
      <c r="N145" s="9"/>
      <c r="O145" s="7"/>
    </row>
    <row r="146" ht="20" customHeight="1">
      <c r="A146" s="7">
        <v>145</v>
      </c>
      <c r="B146" s="7" t="s">
        <v>37</v>
      </c>
      <c r="C146" s="7" t="s">
        <v>645</v>
      </c>
      <c r="D146" s="7" t="s">
        <v>646</v>
      </c>
      <c r="E146" s="7" t="s">
        <v>647</v>
      </c>
      <c r="F146" s="7" t="s">
        <v>648</v>
      </c>
      <c r="G146" s="7" t="s">
        <v>649</v>
      </c>
      <c r="H146" s="8" t="s">
        <v>59</v>
      </c>
      <c r="I146" s="8">
        <v>2</v>
      </c>
      <c r="J146" s="8" t="s">
        <v>81</v>
      </c>
      <c r="K146" s="8" t="s">
        <v>192</v>
      </c>
      <c r="L146" s="9"/>
      <c r="M146" s="9"/>
      <c r="N146" s="9"/>
      <c r="O146" s="7"/>
    </row>
    <row r="147" ht="20" customHeight="1">
      <c r="A147" s="7">
        <v>146</v>
      </c>
      <c r="B147" s="7" t="s">
        <v>38</v>
      </c>
      <c r="C147" s="7" t="s">
        <v>115</v>
      </c>
      <c r="D147" s="7" t="s">
        <v>650</v>
      </c>
      <c r="E147" s="7" t="s">
        <v>651</v>
      </c>
      <c r="F147" s="7" t="s">
        <v>652</v>
      </c>
      <c r="G147" s="7" t="s">
        <v>653</v>
      </c>
      <c r="H147" s="8" t="s">
        <v>59</v>
      </c>
      <c r="I147" s="8">
        <v>2</v>
      </c>
      <c r="J147" s="8" t="s">
        <v>81</v>
      </c>
      <c r="K147" s="8" t="s">
        <v>192</v>
      </c>
      <c r="L147" s="9"/>
      <c r="M147" s="9"/>
      <c r="N147" s="9"/>
      <c r="O147" s="7"/>
    </row>
    <row r="148" ht="20" customHeight="1">
      <c r="A148" s="7">
        <v>147</v>
      </c>
      <c r="B148" s="7" t="s">
        <v>38</v>
      </c>
      <c r="C148" s="7" t="s">
        <v>115</v>
      </c>
      <c r="D148" s="7" t="s">
        <v>654</v>
      </c>
      <c r="E148" s="7" t="s">
        <v>655</v>
      </c>
      <c r="F148" s="7" t="s">
        <v>656</v>
      </c>
      <c r="G148" s="7" t="s">
        <v>657</v>
      </c>
      <c r="H148" s="8" t="s">
        <v>59</v>
      </c>
      <c r="I148" s="8">
        <v>2</v>
      </c>
      <c r="J148" s="8" t="s">
        <v>81</v>
      </c>
      <c r="K148" s="8" t="s">
        <v>192</v>
      </c>
      <c r="L148" s="9"/>
      <c r="M148" s="9"/>
      <c r="N148" s="9"/>
      <c r="O148" s="7"/>
    </row>
    <row r="149" ht="20" customHeight="1">
      <c r="A149" s="7">
        <v>148</v>
      </c>
      <c r="B149" s="7" t="s">
        <v>38</v>
      </c>
      <c r="C149" s="7" t="s">
        <v>658</v>
      </c>
      <c r="D149" s="7" t="s">
        <v>659</v>
      </c>
      <c r="E149" s="7" t="s">
        <v>660</v>
      </c>
      <c r="F149" s="7" t="s">
        <v>661</v>
      </c>
      <c r="G149" s="7" t="s">
        <v>662</v>
      </c>
      <c r="H149" s="8" t="s">
        <v>59</v>
      </c>
      <c r="I149" s="8">
        <v>2</v>
      </c>
      <c r="J149" s="8" t="s">
        <v>81</v>
      </c>
      <c r="K149" s="8" t="s">
        <v>192</v>
      </c>
      <c r="L149" s="9"/>
      <c r="M149" s="9"/>
      <c r="N149" s="9"/>
      <c r="O149" s="7"/>
    </row>
    <row r="150" ht="20" customHeight="1">
      <c r="A150" s="7">
        <v>149</v>
      </c>
      <c r="B150" s="7" t="s">
        <v>38</v>
      </c>
      <c r="C150" s="7" t="s">
        <v>663</v>
      </c>
      <c r="D150" s="7" t="s">
        <v>664</v>
      </c>
      <c r="E150" s="7" t="s">
        <v>665</v>
      </c>
      <c r="F150" s="7" t="s">
        <v>666</v>
      </c>
      <c r="G150" s="7" t="s">
        <v>667</v>
      </c>
      <c r="H150" s="8" t="s">
        <v>59</v>
      </c>
      <c r="I150" s="8">
        <v>2</v>
      </c>
      <c r="J150" s="8" t="s">
        <v>81</v>
      </c>
      <c r="K150" s="8" t="s">
        <v>192</v>
      </c>
      <c r="L150" s="9"/>
      <c r="M150" s="9"/>
      <c r="N150" s="9"/>
      <c r="O150" s="7"/>
    </row>
    <row r="151" ht="35.25" customHeight="1">
      <c r="A151" s="7">
        <v>150</v>
      </c>
      <c r="B151" s="7" t="s">
        <v>38</v>
      </c>
      <c r="C151" s="7" t="s">
        <v>663</v>
      </c>
      <c r="D151" s="7" t="s">
        <v>668</v>
      </c>
      <c r="E151" s="7" t="s">
        <v>669</v>
      </c>
      <c r="F151" s="7" t="s">
        <v>670</v>
      </c>
      <c r="G151" s="7" t="s">
        <v>671</v>
      </c>
      <c r="H151" s="8" t="s">
        <v>59</v>
      </c>
      <c r="I151" s="8">
        <v>2</v>
      </c>
      <c r="J151" s="8" t="s">
        <v>81</v>
      </c>
      <c r="K151" s="8" t="s">
        <v>192</v>
      </c>
      <c r="L151" s="9"/>
      <c r="M151" s="9"/>
      <c r="N151" s="9"/>
      <c r="O151" s="7"/>
    </row>
    <row r="152" ht="35.25" customHeight="1">
      <c r="A152" s="7">
        <v>151</v>
      </c>
      <c r="B152" s="7" t="s">
        <v>38</v>
      </c>
      <c r="C152" s="7" t="s">
        <v>663</v>
      </c>
      <c r="D152" s="7" t="s">
        <v>672</v>
      </c>
      <c r="E152" s="7" t="s">
        <v>673</v>
      </c>
      <c r="F152" s="7" t="s">
        <v>674</v>
      </c>
      <c r="G152" s="7" t="s">
        <v>675</v>
      </c>
      <c r="H152" s="8" t="s">
        <v>59</v>
      </c>
      <c r="I152" s="8">
        <v>2</v>
      </c>
      <c r="J152" s="8" t="s">
        <v>81</v>
      </c>
      <c r="K152" s="8" t="s">
        <v>192</v>
      </c>
      <c r="L152" s="9"/>
      <c r="M152" s="9"/>
      <c r="N152" s="9"/>
      <c r="O152" s="7"/>
    </row>
    <row r="153" ht="20" customHeight="1">
      <c r="A153" s="7">
        <v>152</v>
      </c>
      <c r="B153" s="7" t="s">
        <v>38</v>
      </c>
      <c r="C153" s="7" t="s">
        <v>663</v>
      </c>
      <c r="D153" s="7" t="s">
        <v>676</v>
      </c>
      <c r="E153" s="7" t="s">
        <v>677</v>
      </c>
      <c r="F153" s="7" t="s">
        <v>678</v>
      </c>
      <c r="G153" s="7" t="s">
        <v>679</v>
      </c>
      <c r="H153" s="8" t="s">
        <v>59</v>
      </c>
      <c r="I153" s="8">
        <v>2</v>
      </c>
      <c r="J153" s="8" t="s">
        <v>81</v>
      </c>
      <c r="K153" s="8" t="s">
        <v>192</v>
      </c>
      <c r="L153" s="9"/>
      <c r="M153" s="9"/>
      <c r="N153" s="9"/>
      <c r="O153" s="7"/>
    </row>
    <row r="154" ht="20" customHeight="1">
      <c r="A154" s="7">
        <v>153</v>
      </c>
      <c r="B154" s="7" t="s">
        <v>38</v>
      </c>
      <c r="C154" s="7" t="s">
        <v>663</v>
      </c>
      <c r="D154" s="7" t="s">
        <v>680</v>
      </c>
      <c r="E154" s="7" t="s">
        <v>681</v>
      </c>
      <c r="F154" s="7" t="s">
        <v>682</v>
      </c>
      <c r="G154" s="7" t="s">
        <v>683</v>
      </c>
      <c r="H154" s="8" t="s">
        <v>59</v>
      </c>
      <c r="I154" s="8">
        <v>2</v>
      </c>
      <c r="J154" s="8" t="s">
        <v>81</v>
      </c>
      <c r="K154" s="8" t="s">
        <v>192</v>
      </c>
      <c r="L154" s="9"/>
      <c r="M154" s="9"/>
      <c r="N154" s="9"/>
      <c r="O154" s="7"/>
    </row>
    <row r="155" ht="20" customHeight="1">
      <c r="A155" s="7">
        <v>154</v>
      </c>
      <c r="B155" s="7" t="s">
        <v>38</v>
      </c>
      <c r="C155" s="7" t="s">
        <v>684</v>
      </c>
      <c r="D155" s="7" t="s">
        <v>685</v>
      </c>
      <c r="E155" s="7" t="s">
        <v>686</v>
      </c>
      <c r="F155" s="7" t="s">
        <v>687</v>
      </c>
      <c r="G155" s="7" t="s">
        <v>688</v>
      </c>
      <c r="H155" s="8" t="s">
        <v>59</v>
      </c>
      <c r="I155" s="8">
        <v>2</v>
      </c>
      <c r="J155" s="8" t="s">
        <v>81</v>
      </c>
      <c r="K155" s="8" t="s">
        <v>192</v>
      </c>
      <c r="L155" s="9"/>
      <c r="M155" s="9"/>
      <c r="N155" s="9"/>
      <c r="O155" s="7"/>
    </row>
    <row r="156" ht="20" customHeight="1">
      <c r="A156" s="7">
        <v>155</v>
      </c>
      <c r="B156" s="7" t="s">
        <v>38</v>
      </c>
      <c r="C156" s="7" t="s">
        <v>689</v>
      </c>
      <c r="D156" s="7" t="s">
        <v>690</v>
      </c>
      <c r="E156" s="7" t="s">
        <v>691</v>
      </c>
      <c r="F156" s="7" t="s">
        <v>692</v>
      </c>
      <c r="G156" s="7" t="s">
        <v>693</v>
      </c>
      <c r="H156" s="8" t="s">
        <v>59</v>
      </c>
      <c r="I156" s="8">
        <v>2</v>
      </c>
      <c r="J156" s="8" t="s">
        <v>81</v>
      </c>
      <c r="K156" s="8" t="s">
        <v>192</v>
      </c>
      <c r="L156" s="9"/>
      <c r="M156" s="9"/>
      <c r="N156" s="9"/>
      <c r="O156" s="7"/>
    </row>
    <row r="157" ht="20" customHeight="1">
      <c r="A157" s="7">
        <v>156</v>
      </c>
      <c r="B157" s="7" t="s">
        <v>38</v>
      </c>
      <c r="C157" s="7" t="s">
        <v>689</v>
      </c>
      <c r="D157" s="7" t="s">
        <v>694</v>
      </c>
      <c r="E157" s="7" t="s">
        <v>695</v>
      </c>
      <c r="F157" s="7" t="s">
        <v>696</v>
      </c>
      <c r="G157" s="7" t="s">
        <v>697</v>
      </c>
      <c r="H157" s="8" t="s">
        <v>59</v>
      </c>
      <c r="I157" s="8">
        <v>2</v>
      </c>
      <c r="J157" s="8" t="s">
        <v>81</v>
      </c>
      <c r="K157" s="8" t="s">
        <v>192</v>
      </c>
      <c r="L157" s="9"/>
      <c r="M157" s="9"/>
      <c r="N157" s="9"/>
      <c r="O157" s="7"/>
    </row>
    <row r="158" ht="20" customHeight="1">
      <c r="A158" s="7">
        <v>157</v>
      </c>
      <c r="B158" s="7" t="s">
        <v>38</v>
      </c>
      <c r="C158" s="7" t="s">
        <v>698</v>
      </c>
      <c r="D158" s="7" t="s">
        <v>699</v>
      </c>
      <c r="E158" s="7" t="s">
        <v>700</v>
      </c>
      <c r="F158" s="7" t="s">
        <v>701</v>
      </c>
      <c r="G158" s="7" t="s">
        <v>702</v>
      </c>
      <c r="H158" s="8" t="s">
        <v>59</v>
      </c>
      <c r="I158" s="8">
        <v>2</v>
      </c>
      <c r="J158" s="8" t="s">
        <v>81</v>
      </c>
      <c r="K158" s="8" t="s">
        <v>192</v>
      </c>
      <c r="L158" s="9"/>
      <c r="M158" s="9"/>
      <c r="N158" s="9"/>
      <c r="O158" s="7"/>
    </row>
    <row r="159" ht="35.25" customHeight="1">
      <c r="A159" s="7">
        <v>158</v>
      </c>
      <c r="B159" s="7" t="s">
        <v>39</v>
      </c>
      <c r="C159" s="7" t="s">
        <v>703</v>
      </c>
      <c r="D159" s="7" t="s">
        <v>704</v>
      </c>
      <c r="E159" s="7" t="str">
        <v>初始化用户、商家窗口、菜单、库存，清理历史脏数据</v>
      </c>
      <c r="F159" s="7" t="s">
        <v>705</v>
      </c>
      <c r="G159" s="7" t="s">
        <v>706</v>
      </c>
      <c r="H159" s="8" t="s">
        <v>59</v>
      </c>
      <c r="I159" s="8">
        <v>2</v>
      </c>
      <c r="J159" s="8" t="s">
        <v>81</v>
      </c>
      <c r="K159" s="8" t="s">
        <v>192</v>
      </c>
      <c r="L159" s="9"/>
      <c r="M159" s="9"/>
      <c r="N159" s="9"/>
      <c r="O159" s="7"/>
    </row>
    <row r="160" ht="20" customHeight="1">
      <c r="A160" s="7">
        <v>159</v>
      </c>
      <c r="B160" s="7" t="s">
        <v>39</v>
      </c>
      <c r="C160" s="7" t="s">
        <v>707</v>
      </c>
      <c r="D160" s="7" t="s">
        <v>708</v>
      </c>
      <c r="E160" s="7" t="s">
        <v>709</v>
      </c>
      <c r="F160" s="7" t="s">
        <v>710</v>
      </c>
      <c r="G160" s="7" t="s">
        <v>711</v>
      </c>
      <c r="H160" s="8" t="s">
        <v>59</v>
      </c>
      <c r="I160" s="8">
        <v>2</v>
      </c>
      <c r="J160" s="8" t="s">
        <v>81</v>
      </c>
      <c r="K160" s="8" t="s">
        <v>192</v>
      </c>
      <c r="L160" s="9"/>
      <c r="M160" s="9"/>
      <c r="N160" s="9"/>
      <c r="O160" s="7"/>
    </row>
    <row r="161" ht="35.25" customHeight="1">
      <c r="A161" s="7">
        <v>160</v>
      </c>
      <c r="B161" s="7" t="s">
        <v>39</v>
      </c>
      <c r="C161" s="7" t="s">
        <v>712</v>
      </c>
      <c r="D161" s="7" t="s">
        <v>713</v>
      </c>
      <c r="E161" s="7" t="s">
        <v>714</v>
      </c>
      <c r="F161" s="7" t="s">
        <v>705</v>
      </c>
      <c r="G161" s="7" t="s">
        <v>715</v>
      </c>
      <c r="H161" s="8" t="s">
        <v>59</v>
      </c>
      <c r="I161" s="8">
        <v>2</v>
      </c>
      <c r="J161" s="8" t="s">
        <v>81</v>
      </c>
      <c r="K161" s="8" t="s">
        <v>192</v>
      </c>
      <c r="L161" s="9"/>
      <c r="M161" s="9"/>
      <c r="N161" s="9"/>
      <c r="O161" s="7"/>
    </row>
    <row r="162" ht="35.25" customHeight="1">
      <c r="A162" s="7">
        <v>161</v>
      </c>
      <c r="B162" s="7" t="s">
        <v>39</v>
      </c>
      <c r="C162" s="7" t="s">
        <v>187</v>
      </c>
      <c r="D162" s="7" t="s">
        <v>716</v>
      </c>
      <c r="E162" s="7" t="s">
        <v>717</v>
      </c>
      <c r="F162" s="7" t="s">
        <v>718</v>
      </c>
      <c r="G162" s="7" t="s">
        <v>719</v>
      </c>
      <c r="H162" s="8" t="s">
        <v>59</v>
      </c>
      <c r="I162" s="8">
        <v>2</v>
      </c>
      <c r="J162" s="8" t="s">
        <v>81</v>
      </c>
      <c r="K162" s="8" t="s">
        <v>192</v>
      </c>
      <c r="L162" s="9"/>
      <c r="M162" s="9"/>
      <c r="N162" s="9"/>
      <c r="O162" s="7"/>
    </row>
    <row r="163" ht="20" customHeight="1">
      <c r="A163" s="7">
        <v>162</v>
      </c>
      <c r="B163" s="7" t="s">
        <v>39</v>
      </c>
      <c r="C163" s="7" t="s">
        <v>187</v>
      </c>
      <c r="D163" s="7" t="s">
        <v>720</v>
      </c>
      <c r="E163" s="7" t="s">
        <v>721</v>
      </c>
      <c r="F163" s="7" t="s">
        <v>722</v>
      </c>
      <c r="G163" s="7" t="s">
        <v>723</v>
      </c>
      <c r="H163" s="8" t="s">
        <v>59</v>
      </c>
      <c r="I163" s="8">
        <v>2</v>
      </c>
      <c r="J163" s="8" t="s">
        <v>81</v>
      </c>
      <c r="K163" s="8" t="s">
        <v>192</v>
      </c>
      <c r="L163" s="9"/>
      <c r="M163" s="9"/>
      <c r="N163" s="9"/>
      <c r="O163" s="7"/>
    </row>
    <row r="164" ht="35.25" customHeight="1">
      <c r="A164" s="7">
        <v>163</v>
      </c>
      <c r="B164" s="7" t="s">
        <v>39</v>
      </c>
      <c r="C164" s="7" t="s">
        <v>724</v>
      </c>
      <c r="D164" s="7" t="s">
        <v>725</v>
      </c>
      <c r="E164" s="7" t="s">
        <v>726</v>
      </c>
      <c r="F164" s="7" t="s">
        <v>727</v>
      </c>
      <c r="G164" s="7" t="s">
        <v>728</v>
      </c>
      <c r="H164" s="8" t="s">
        <v>59</v>
      </c>
      <c r="I164" s="8">
        <v>2</v>
      </c>
      <c r="J164" s="8" t="s">
        <v>81</v>
      </c>
      <c r="K164" s="8" t="s">
        <v>192</v>
      </c>
      <c r="L164" s="9"/>
      <c r="M164" s="9"/>
      <c r="N164" s="9"/>
      <c r="O164" s="7"/>
    </row>
    <row r="165" ht="20" customHeight="1">
      <c r="A165" s="7">
        <v>164</v>
      </c>
      <c r="B165" s="7" t="s">
        <v>39</v>
      </c>
      <c r="C165" s="7" t="s">
        <v>729</v>
      </c>
      <c r="D165" s="7" t="s">
        <v>730</v>
      </c>
      <c r="E165" s="7" t="s">
        <v>731</v>
      </c>
      <c r="F165" s="7" t="s">
        <v>732</v>
      </c>
      <c r="G165" s="7" t="s">
        <v>733</v>
      </c>
      <c r="H165" s="8" t="s">
        <v>59</v>
      </c>
      <c r="I165" s="8">
        <v>2</v>
      </c>
      <c r="J165" s="8" t="s">
        <v>81</v>
      </c>
      <c r="K165" s="8" t="s">
        <v>192</v>
      </c>
      <c r="L165" s="9"/>
      <c r="M165" s="9"/>
      <c r="N165" s="9"/>
      <c r="O165" s="7"/>
    </row>
  </sheetData>
  <conditionalFormatting sqref="J2:J165">
    <cfRule type="expression" dxfId="6" priority="1">
      <formula>$J2="☑"</formula>
    </cfRule>
  </conditionalFormatting>
  <conditionalFormatting sqref="K2:K165">
    <cfRule type="expression" dxfId="5" priority="2">
      <formula>$K2="已完成"</formula>
    </cfRule>
    <cfRule type="expression" dxfId="4" priority="3">
      <formula>$K2="进行中"</formula>
    </cfRule>
    <cfRule type="expression" dxfId="3" priority="4">
      <formula>$K2="阻塞"</formula>
    </cfRule>
    <cfRule type="expression" dxfId="2" priority="5">
      <formula>$K2="暂缓"</formula>
    </cfRule>
  </conditionalFormatting>
  <dataValidations count="3">
    <dataValidation type="list" sqref="J2:J165">
      <formula1>"☐,☑"</formula1>
    </dataValidation>
    <dataValidation type="list" sqref="K2:K165">
      <formula1>"未开始,进行中,已完成,阻塞,暂缓"</formula1>
    </dataValidation>
    <dataValidation type="list" sqref="H2:H165">
      <formula1>"高,中,低"</formula1>
    </dataValidation>
  </dataValidations>
  <pageMargins left="0.7" right="0.7" top="0.75" bottom="0.75" header="0.3" footer="0.3"/>
  <tableParts count="1">
    <tablePart ns1:id="Rfcb28752841e4da7"/>
  </tableParts>
</worksheet>
</file>

<file path=xl/worksheets/sheet3.xml><?xml version="1.0" encoding="utf-8"?>
<x:worksheet xmlns:x="http://schemas.openxmlformats.org/spreadsheetml/2006/main">
  <x:sheetFormatPr baseColWidth="10" defaultColWidth="8.83203125" defaultRowHeight="14"/>
  <x:cols>
    <x:col min="1" max="1" width="7" customWidth="1"/>
    <x:col min="2" max="2" width="16" customWidth="1"/>
    <x:col min="3" max="3" width="24" customWidth="1"/>
    <x:col min="4" max="4" width="48" customWidth="1"/>
    <x:col min="5" max="5" width="42" customWidth="1"/>
    <x:col min="6" max="6" width="9" customWidth="1"/>
    <x:col min="7" max="7" width="12" customWidth="1"/>
    <x:col min="8" max="8" width="28" customWidth="1"/>
  </x:cols>
  <x:sheetData>
    <x:row r="1" ht="20" customHeight="1">
      <x:c r="A1" s="2" t="s">
        <x:v>734</x:v>
      </x:c>
      <x:c r="B1" s="2" t="s">
        <x:v>735</x:v>
      </x:c>
      <x:c r="C1" s="2" t="s">
        <x:v>736</x:v>
      </x:c>
      <x:c r="D1" s="2" t="s">
        <x:v>737</x:v>
      </x:c>
      <x:c r="E1" s="2" t="s">
        <x:v>738</x:v>
      </x:c>
      <x:c r="F1" s="2" t="s">
        <x:v>48</x:v>
      </x:c>
      <x:c r="G1" s="2" t="s">
        <x:v>49</x:v>
      </x:c>
      <x:c r="H1" s="2" t="s">
        <x:v>53</x:v>
      </x:c>
    </x:row>
    <x:row r="2" ht="35.25" customHeight="1">
      <x:c r="A2" s="4">
        <x:v>1</x:v>
      </x:c>
      <x:c r="B2" s="4" t="s">
        <x:v>739</x:v>
      </x:c>
      <x:c r="C2" s="4" t="s">
        <x:v>740</x:v>
      </x:c>
      <x:c r="D2" s="4" t="s">
        <x:v>741</x:v>
      </x:c>
      <x:c r="E2" s="4" t="s">
        <x:v>742</x:v>
      </x:c>
      <x:c r="F2" s="4" t="s">
        <x:v>81</x:v>
      </x:c>
      <x:c r="G2" s="4" t="s">
        <x:v>192</x:v>
      </x:c>
      <x:c r="H2" s="4"/>
    </x:row>
    <x:row r="3" ht="20" customHeight="1">
      <x:c r="A3" s="4">
        <x:v>2</x:v>
      </x:c>
      <x:c r="B3" s="4" t="s">
        <x:v>739</x:v>
      </x:c>
      <x:c r="C3" s="4" t="s">
        <x:v>743</x:v>
      </x:c>
      <x:c r="D3" s="4" t="s">
        <x:v>744</x:v>
      </x:c>
      <x:c r="E3" s="4" t="s">
        <x:v>745</x:v>
      </x:c>
      <x:c r="F3" s="4" t="s">
        <x:v>81</x:v>
      </x:c>
      <x:c r="G3" s="4" t="s">
        <x:v>192</x:v>
      </x:c>
      <x:c r="H3" s="4"/>
    </x:row>
    <x:row r="4" ht="20" customHeight="1">
      <x:c r="A4" s="4">
        <x:v>3</x:v>
      </x:c>
      <x:c r="B4" s="4" t="s">
        <x:v>739</x:v>
      </x:c>
      <x:c r="C4" s="4" t="s">
        <x:v>746</x:v>
      </x:c>
      <x:c r="D4" s="4" t="s">
        <x:v>747</x:v>
      </x:c>
      <x:c r="E4" s="4" t="s">
        <x:v>748</x:v>
      </x:c>
      <x:c r="F4" s="4" t="s">
        <x:v>81</x:v>
      </x:c>
      <x:c r="G4" s="4" t="s">
        <x:v>192</x:v>
      </x:c>
      <x:c r="H4" s="4"/>
    </x:row>
    <x:row r="5" ht="20" customHeight="1">
      <x:c r="A5" s="4">
        <x:v>4</x:v>
      </x:c>
      <x:c r="B5" s="4" t="s">
        <x:v>739</x:v>
      </x:c>
      <x:c r="C5" s="4" t="s">
        <x:v>749</x:v>
      </x:c>
      <x:c r="D5" s="4" t="s">
        <x:v>750</x:v>
      </x:c>
      <x:c r="E5" s="4" t="s">
        <x:v>751</x:v>
      </x:c>
      <x:c r="F5" s="4" t="s">
        <x:v>81</x:v>
      </x:c>
      <x:c r="G5" s="4" t="s">
        <x:v>192</x:v>
      </x:c>
      <x:c r="H5" s="4"/>
    </x:row>
    <x:row r="6" ht="20" customHeight="1">
      <x:c r="A6" s="4">
        <x:v>5</x:v>
      </x:c>
      <x:c r="B6" s="4" t="s">
        <x:v>739</x:v>
      </x:c>
      <x:c r="C6" s="4" t="s">
        <x:v>428</x:v>
      </x:c>
      <x:c r="D6" s="4" t="s">
        <x:v>752</x:v>
      </x:c>
      <x:c r="E6" s="4" t="s">
        <x:v>751</x:v>
      </x:c>
      <x:c r="F6" s="4" t="s">
        <x:v>81</x:v>
      </x:c>
      <x:c r="G6" s="4" t="s">
        <x:v>192</x:v>
      </x:c>
      <x:c r="H6" s="4"/>
    </x:row>
    <x:row r="7" ht="20" customHeight="1">
      <x:c r="A7" s="4">
        <x:v>6</x:v>
      </x:c>
      <x:c r="B7" s="4" t="s">
        <x:v>739</x:v>
      </x:c>
      <x:c r="C7" s="4" t="s">
        <x:v>753</x:v>
      </x:c>
      <x:c r="D7" s="4" t="s">
        <x:v>754</x:v>
      </x:c>
      <x:c r="E7" s="4" t="s">
        <x:v>755</x:v>
      </x:c>
      <x:c r="F7" s="4" t="s">
        <x:v>81</x:v>
      </x:c>
      <x:c r="G7" s="4" t="s">
        <x:v>192</x:v>
      </x:c>
      <x:c r="H7" s="4"/>
    </x:row>
    <x:row r="8" ht="20" customHeight="1">
      <x:c r="A8" s="4">
        <x:v>7</x:v>
      </x:c>
      <x:c r="B8" s="4" t="s">
        <x:v>756</x:v>
      </x:c>
      <x:c r="C8" s="4" t="s">
        <x:v>757</x:v>
      </x:c>
      <x:c r="D8" s="4" t="s">
        <x:v>758</x:v>
      </x:c>
      <x:c r="E8" s="4" t="s">
        <x:v>759</x:v>
      </x:c>
      <x:c r="F8" s="4" t="s">
        <x:v>81</x:v>
      </x:c>
      <x:c r="G8" s="4" t="s">
        <x:v>192</x:v>
      </x:c>
      <x:c r="H8" s="4"/>
    </x:row>
    <x:row r="9" ht="20" customHeight="1">
      <x:c r="A9" s="4">
        <x:v>8</x:v>
      </x:c>
      <x:c r="B9" s="4" t="s">
        <x:v>756</x:v>
      </x:c>
      <x:c r="C9" s="4" t="s">
        <x:v>760</x:v>
      </x:c>
      <x:c r="D9" s="4" t="s">
        <x:v>761</x:v>
      </x:c>
      <x:c r="E9" s="4" t="s">
        <x:v>762</x:v>
      </x:c>
      <x:c r="F9" s="4" t="s">
        <x:v>81</x:v>
      </x:c>
      <x:c r="G9" s="4" t="s">
        <x:v>192</x:v>
      </x:c>
      <x:c r="H9" s="4"/>
    </x:row>
    <x:row r="10" ht="20" customHeight="1">
      <x:c r="A10" s="4">
        <x:v>9</x:v>
      </x:c>
      <x:c r="B10" s="4" t="s">
        <x:v>756</x:v>
      </x:c>
      <x:c r="C10" s="4" t="s">
        <x:v>763</x:v>
      </x:c>
      <x:c r="D10" s="4" t="s">
        <x:v>764</x:v>
      </x:c>
      <x:c r="E10" s="4" t="s">
        <x:v>765</x:v>
      </x:c>
      <x:c r="F10" s="4" t="s">
        <x:v>81</x:v>
      </x:c>
      <x:c r="G10" s="4" t="s">
        <x:v>192</x:v>
      </x:c>
      <x:c r="H10" s="4"/>
    </x:row>
    <x:row r="11" ht="20" customHeight="1">
      <x:c r="A11" s="4">
        <x:v>10</x:v>
      </x:c>
      <x:c r="B11" s="4" t="s">
        <x:v>766</x:v>
      </x:c>
      <x:c r="C11" s="4" t="s">
        <x:v>767</x:v>
      </x:c>
      <x:c r="D11" s="4" t="s">
        <x:v>768</x:v>
      </x:c>
      <x:c r="E11" s="4" t="s">
        <x:v>769</x:v>
      </x:c>
      <x:c r="F11" s="4" t="s">
        <x:v>81</x:v>
      </x:c>
      <x:c r="G11" s="4" t="s">
        <x:v>192</x:v>
      </x:c>
      <x:c r="H11" s="4"/>
    </x:row>
    <x:row r="12" ht="20" customHeight="1">
      <x:c r="A12" s="4">
        <x:v>11</x:v>
      </x:c>
      <x:c r="B12" s="4" t="s">
        <x:v>766</x:v>
      </x:c>
      <x:c r="C12" s="4" t="s">
        <x:v>770</x:v>
      </x:c>
      <x:c r="D12" s="4" t="s">
        <x:v>771</x:v>
      </x:c>
      <x:c r="E12" s="4" t="s">
        <x:v>772</x:v>
      </x:c>
      <x:c r="F12" s="4" t="s">
        <x:v>81</x:v>
      </x:c>
      <x:c r="G12" s="4" t="s">
        <x:v>192</x:v>
      </x:c>
      <x:c r="H12" s="4"/>
    </x:row>
    <x:row r="13" ht="20" customHeight="1">
      <x:c r="A13" s="4">
        <x:v>12</x:v>
      </x:c>
      <x:c r="B13" s="4" t="s">
        <x:v>773</x:v>
      </x:c>
      <x:c r="C13" s="4" t="s">
        <x:v>774</x:v>
      </x:c>
      <x:c r="D13" s="4" t="s">
        <x:v>775</x:v>
      </x:c>
      <x:c r="E13" s="4" t="s">
        <x:v>776</x:v>
      </x:c>
      <x:c r="F13" s="4" t="s">
        <x:v>81</x:v>
      </x:c>
      <x:c r="G13" s="4" t="s">
        <x:v>192</x:v>
      </x:c>
      <x:c r="H13" s="4"/>
    </x:row>
    <x:row r="14" ht="20" customHeight="1">
      <x:c r="A14" s="4">
        <x:v>13</x:v>
      </x:c>
      <x:c r="B14" s="4" t="s">
        <x:v>773</x:v>
      </x:c>
      <x:c r="C14" s="4" t="s">
        <x:v>777</x:v>
      </x:c>
      <x:c r="D14" s="4" t="s">
        <x:v>778</x:v>
      </x:c>
      <x:c r="E14" s="4" t="s">
        <x:v>779</x:v>
      </x:c>
      <x:c r="F14" s="4" t="s">
        <x:v>81</x:v>
      </x:c>
      <x:c r="G14" s="4" t="s">
        <x:v>192</x:v>
      </x:c>
      <x:c r="H14" s="4"/>
    </x:row>
    <x:row r="15" ht="20" customHeight="1">
      <x:c r="A15" s="4">
        <x:v>14</x:v>
      </x:c>
      <x:c r="B15" s="4" t="s">
        <x:v>780</x:v>
      </x:c>
      <x:c r="C15" s="4" t="s">
        <x:v>781</x:v>
      </x:c>
      <x:c r="D15" s="4" t="s">
        <x:v>782</x:v>
      </x:c>
      <x:c r="E15" s="4" t="s">
        <x:v>783</x:v>
      </x:c>
      <x:c r="F15" s="4" t="s">
        <x:v>81</x:v>
      </x:c>
      <x:c r="G15" s="4" t="s">
        <x:v>192</x:v>
      </x:c>
      <x:c r="H15" s="4"/>
    </x:row>
    <x:row r="16" ht="20" customHeight="1">
      <x:c r="A16" s="4">
        <x:v>15</x:v>
      </x:c>
      <x:c r="B16" s="4" t="s">
        <x:v>780</x:v>
      </x:c>
      <x:c r="C16" s="4" t="s">
        <x:v>784</x:v>
      </x:c>
      <x:c r="D16" s="4" t="s">
        <x:v>785</x:v>
      </x:c>
      <x:c r="E16" s="4" t="s">
        <x:v>786</x:v>
      </x:c>
      <x:c r="F16" s="4" t="s">
        <x:v>81</x:v>
      </x:c>
      <x:c r="G16" s="4" t="s">
        <x:v>192</x:v>
      </x:c>
      <x:c r="H16" s="4"/>
    </x:row>
    <x:row r="17" ht="20" customHeight="1">
      <x:c r="A17" s="4">
        <x:v>16</x:v>
      </x:c>
      <x:c r="B17" s="4" t="s">
        <x:v>787</x:v>
      </x:c>
      <x:c r="C17" s="4" t="s">
        <x:v>788</x:v>
      </x:c>
      <x:c r="D17" s="4" t="s">
        <x:v>789</x:v>
      </x:c>
      <x:c r="E17" s="4" t="s">
        <x:v>790</x:v>
      </x:c>
      <x:c r="F17" s="4" t="s">
        <x:v>81</x:v>
      </x:c>
      <x:c r="G17" s="4" t="s">
        <x:v>192</x:v>
      </x:c>
      <x:c r="H17" s="4"/>
    </x:row>
    <x:row r="18" ht="20" customHeight="1">
      <x:c r="A18" s="4">
        <x:v>17</x:v>
      </x:c>
      <x:c r="B18" s="4" t="s">
        <x:v>787</x:v>
      </x:c>
      <x:c r="C18" s="4" t="s">
        <x:v>791</x:v>
      </x:c>
      <x:c r="D18" s="4" t="s">
        <x:v>792</x:v>
      </x:c>
      <x:c r="E18" s="4" t="s">
        <x:v>793</x:v>
      </x:c>
      <x:c r="F18" s="4" t="s">
        <x:v>81</x:v>
      </x:c>
      <x:c r="G18" s="4" t="s">
        <x:v>192</x:v>
      </x:c>
      <x:c r="H18" s="4"/>
    </x:row>
  </x:sheetData>
  <x:conditionalFormatting sqref="F2:F18">
    <x:cfRule type="expression" dxfId="1" priority="1">
      <x:formula>$F2="☑"</x:formula>
    </x:cfRule>
  </x:conditionalFormatting>
  <x:conditionalFormatting sqref="G2:G18">
    <x:cfRule type="expression" dxfId="0" priority="2">
      <x:formula>$G2="阻塞"</x:formula>
    </x:cfRule>
  </x:conditionalFormatting>
  <x:dataValidations count="2">
    <x:dataValidation type="list" sqref="F2:F18">
      <x:formula1>"☐,☑"</x:formula1>
    </x:dataValidation>
    <x:dataValidation type="list" sqref="G2:G18">
      <x:formula1>"未开始,进行中,已完成,阻塞,暂缓"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dadccf92774736"/>
  </x:tableParts>
</x:worksheet>
</file>

<file path=xl/worksheets/sheet4.xml><?xml version="1.0" encoding="utf-8"?>
<x:worksheet xmlns:x="http://schemas.openxmlformats.org/spreadsheetml/2006/main">
  <x:sheetFormatPr baseColWidth="10" defaultColWidth="8.83203125" defaultRowHeight="14"/>
  <x:cols>
    <x:col min="1" max="1" width="100" customWidth="1"/>
  </x:cols>
  <x:sheetData>
    <x:row r="1" ht="25.5" customHeight="1">
      <x:c r="A1" s="10" t="s">
        <x:v>794</x:v>
      </x:c>
    </x:row>
    <x:row r="2" ht="20" customHeight="1">
      <x:c r="A2" s="4" t="s">
        <x:v>795</x:v>
      </x:c>
    </x:row>
    <x:row r="3" ht="20" customHeight="1">
      <x:c r="A3" s="4" t="s">
        <x:v>796</x:v>
      </x:c>
    </x:row>
    <x:row r="4" ht="20" customHeight="1">
      <x:c r="A4" s="4" t="s">
        <x:v>797</x:v>
      </x:c>
    </x:row>
    <x:row r="5" ht="20" customHeight="1">
      <x:c r="A5" s="4" t="s">
        <x:v>798</x:v>
      </x:c>
    </x:row>
    <x:row r="6" ht="20" customHeight="1">
      <x:c r="A6" s="4" t="s">
        <x:v>799</x:v>
      </x:c>
    </x:row>
    <x:row r="7" ht="20" customHeight="1">
      <x:c r="A7" s="4" t="s">
        <x:v>800</x:v>
      </x:c>
    </x:row>
    <x:row r="8" ht="20" customHeight="1">
      <x:c r="A8" s="4" t="s">
        <x:v>801</x:v>
      </x:c>
    </x:row>
    <x:row r="9" ht="20" customHeight="1">
      <x:c r="A9" s="4" t="s">
        <x:v>802</x:v>
      </x:c>
    </x:row>
    <x:row r="10" ht="20" customHeight="1">
      <x:c r="A10" s="4" t="s">
        <x:v>803</x:v>
      </x:c>
    </x:row>
    <x:row r="11" ht="18">
      <x:c r="A11" s="1" t="s">
        <x:v>804</x:v>
      </x:c>
    </x:row>
  </x:sheetData>
  <x:pageMargins left="0.7" right="0.7" top="0.75" bottom="0.75" header="0.3" footer="0.3"/>
</x:worksheet>
</file>